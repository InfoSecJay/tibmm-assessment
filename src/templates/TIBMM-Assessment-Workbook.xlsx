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essment" sheetId="2" state="visible" r:id="rId2"/>
    <sheet xmlns:r="http://schemas.openxmlformats.org/officeDocument/2006/relationships" name="Results Dashboard" sheetId="3" state="visible" r:id="rId3"/>
    <sheet xmlns:r="http://schemas.openxmlformats.org/officeDocument/2006/relationships" name="Tier Scores Chart" sheetId="4" state="visible" r:id="rId4"/>
    <sheet xmlns:r="http://schemas.openxmlformats.org/officeDocument/2006/relationships" name="Readiness Chart" sheetId="5" state="visible" r:id="rId5"/>
    <sheet xmlns:r="http://schemas.openxmlformats.org/officeDocument/2006/relationships" name="Rubric Reference" sheetId="6" state="visible" r:id="rId6"/>
    <sheet xmlns:r="http://schemas.openxmlformats.org/officeDocument/2006/relationships" name="Glossary" sheetId="7" state="visible" r:id="rId7"/>
    <sheet xmlns:r="http://schemas.openxmlformats.org/officeDocument/2006/relationships" name="Report Data"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Aptos"/>
      <b val="1"/>
      <color rgb="00FFFFFF"/>
      <sz val="20"/>
    </font>
    <font>
      <name val="Aptos"/>
      <i val="1"/>
      <color rgb="0093C5FD"/>
      <sz val="10"/>
    </font>
    <font>
      <name val="Aptos"/>
      <b val="1"/>
      <color rgb="001B2A4A"/>
      <sz val="12"/>
    </font>
    <font>
      <name val="Aptos"/>
      <color rgb="001E293B"/>
      <sz val="10.5"/>
    </font>
    <font>
      <name val="Aptos"/>
      <b val="1"/>
      <color rgb="001E293B"/>
      <sz val="10.5"/>
    </font>
    <font>
      <name val="Aptos"/>
      <b val="1"/>
      <color rgb="00115E60"/>
      <sz val="10.5"/>
    </font>
    <font>
      <name val="Aptos"/>
      <i val="1"/>
      <color rgb="00475569"/>
      <sz val="9.5"/>
    </font>
    <font>
      <name val="Aptos"/>
      <b val="1"/>
      <color rgb="00FFFFFF"/>
      <sz val="10"/>
    </font>
    <font>
      <name val="Aptos"/>
      <b val="1"/>
      <color rgb="00FFFFFF"/>
      <sz val="12"/>
    </font>
    <font>
      <name val="Aptos"/>
      <color rgb="00475569"/>
      <sz val="9.5"/>
    </font>
    <font>
      <name val="Aptos"/>
      <b val="1"/>
      <color rgb="001E293B"/>
      <sz val="11"/>
    </font>
    <font>
      <name val="Aptos"/>
      <b val="1"/>
      <color rgb="00115E60"/>
      <sz val="12"/>
    </font>
    <font>
      <name val="Aptos"/>
      <b val="1"/>
      <color rgb="002D3E50"/>
      <sz val="10"/>
    </font>
    <font>
      <name val="Aptos"/>
      <b val="1"/>
      <color rgb="001B2A4A"/>
      <sz val="28"/>
    </font>
    <font>
      <name val="Aptos"/>
      <b val="1"/>
      <color rgb="001B2A4A"/>
      <sz val="16"/>
    </font>
    <font>
      <name val="Aptos"/>
      <i val="1"/>
      <color rgb="00475569"/>
      <sz val="10.5"/>
    </font>
    <font>
      <name val="Aptos"/>
      <b val="1"/>
      <color rgb="001E293B"/>
      <sz val="10"/>
    </font>
  </fonts>
  <fills count="17">
    <fill>
      <patternFill/>
    </fill>
    <fill>
      <patternFill patternType="gray125"/>
    </fill>
    <fill>
      <patternFill patternType="solid">
        <fgColor rgb="000F1D32"/>
      </patternFill>
    </fill>
    <fill>
      <patternFill patternType="solid">
        <fgColor rgb="001B2A4A"/>
      </patternFill>
    </fill>
    <fill>
      <patternFill patternType="solid">
        <fgColor rgb="00EBF4FF"/>
      </patternFill>
    </fill>
    <fill>
      <patternFill patternType="solid">
        <fgColor rgb="00E6F7F7"/>
      </patternFill>
    </fill>
    <fill>
      <patternFill patternType="solid">
        <fgColor rgb="00FFFBEB"/>
      </patternFill>
    </fill>
    <fill>
      <patternFill patternType="solid">
        <fgColor rgb="002D3E50"/>
      </patternFill>
    </fill>
    <fill>
      <patternFill patternType="solid">
        <fgColor rgb="00FFFFFF"/>
      </patternFill>
    </fill>
    <fill>
      <patternFill patternType="solid">
        <fgColor rgb="00FAFBFC"/>
      </patternFill>
    </fill>
    <fill>
      <patternFill patternType="solid">
        <fgColor rgb="00F1F5F9"/>
      </patternFill>
    </fill>
    <fill>
      <patternFill patternType="solid">
        <fgColor rgb="000D7377"/>
      </patternFill>
    </fill>
    <fill>
      <patternFill patternType="solid">
        <fgColor rgb="00FFF1F2"/>
      </patternFill>
    </fill>
    <fill>
      <patternFill patternType="solid">
        <fgColor rgb="00FFF7ED"/>
      </patternFill>
    </fill>
    <fill>
      <patternFill patternType="solid">
        <fgColor rgb="00FEFCE8"/>
      </patternFill>
    </fill>
    <fill>
      <patternFill patternType="solid">
        <fgColor rgb="00F0FDF4"/>
      </patternFill>
    </fill>
    <fill>
      <patternFill patternType="solid">
        <fgColor rgb="00ECFDF5"/>
      </patternFill>
    </fill>
  </fills>
  <borders count="6">
    <border>
      <left/>
      <right/>
      <top/>
      <bottom/>
      <diagonal/>
    </border>
    <border>
      <left style="medium">
        <color rgb="003B82F6"/>
      </left>
    </border>
    <border>
      <left style="medium">
        <color rgb="005EEAD4"/>
      </left>
    </border>
    <border>
      <left style="thin">
        <color rgb="00F59E0B"/>
      </left>
      <right style="thin">
        <color rgb="00F59E0B"/>
      </right>
      <top style="thin">
        <color rgb="00F59E0B"/>
      </top>
      <bottom style="thin">
        <color rgb="00F59E0B"/>
      </bottom>
    </border>
    <border>
      <left style="thin">
        <color rgb="00E2E8F0"/>
      </left>
      <right style="thin">
        <color rgb="00E2E8F0"/>
      </right>
      <top style="thin">
        <color rgb="00E2E8F0"/>
      </top>
      <bottom style="thin">
        <color rgb="00E2E8F0"/>
      </bottom>
    </border>
    <border>
      <bottom style="thin">
        <color rgb="00E2E8F0"/>
      </bottom>
    </border>
  </borders>
  <cellStyleXfs count="1">
    <xf numFmtId="0" fontId="0" fillId="0" borderId="0"/>
  </cellStyleXfs>
  <cellXfs count="7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0" fillId="3" borderId="0" pivotButton="0" quotePrefix="0" xfId="0"/>
    <xf numFmtId="0" fontId="3" fillId="4" borderId="1" applyAlignment="1" pivotButton="0" quotePrefix="0" xfId="0">
      <alignment horizontal="left" vertical="center" wrapText="1"/>
    </xf>
    <xf numFmtId="0" fontId="0" fillId="4" borderId="0" pivotButton="0" quotePrefix="0" xfId="0"/>
    <xf numFmtId="0" fontId="4" fillId="0" borderId="0" applyAlignment="1" pivotButton="0" quotePrefix="0" xfId="0">
      <alignment horizontal="left" vertical="top" wrapText="1"/>
    </xf>
    <xf numFmtId="0" fontId="5" fillId="4" borderId="1" applyAlignment="1" pivotButton="0" quotePrefix="0" xfId="0">
      <alignment horizontal="left" vertical="center" wrapText="1"/>
    </xf>
    <xf numFmtId="0" fontId="6" fillId="5" borderId="2" applyAlignment="1" pivotButton="0" quotePrefix="0" xfId="0">
      <alignment horizontal="left" vertical="center" wrapText="1"/>
    </xf>
    <xf numFmtId="0" fontId="5" fillId="0" borderId="0" applyAlignment="1" pivotButton="0" quotePrefix="0" xfId="0">
      <alignment horizontal="right" vertical="center" wrapText="1"/>
    </xf>
    <xf numFmtId="0" fontId="4" fillId="6" borderId="3" applyAlignment="1" pivotButton="0" quotePrefix="0" xfId="0">
      <alignment horizontal="left" vertical="center" wrapText="1"/>
    </xf>
    <xf numFmtId="0" fontId="0" fillId="6" borderId="3" pivotButton="0" quotePrefix="0" xfId="0"/>
    <xf numFmtId="0" fontId="7" fillId="4" borderId="0" applyAlignment="1" pivotButton="0" quotePrefix="0" xfId="0">
      <alignment horizontal="left" vertical="center" wrapText="1"/>
    </xf>
    <xf numFmtId="0" fontId="8" fillId="7" borderId="4" applyAlignment="1" pivotButton="0" quotePrefix="0" xfId="0">
      <alignment horizontal="center" vertical="center" wrapText="1"/>
    </xf>
    <xf numFmtId="0" fontId="9" fillId="3" borderId="0" applyAlignment="1" pivotButton="0" quotePrefix="0" xfId="0">
      <alignment horizontal="left" vertical="center"/>
    </xf>
    <xf numFmtId="0" fontId="10" fillId="8" borderId="5" applyAlignment="1" pivotButton="0" quotePrefix="0" xfId="0">
      <alignment horizontal="center" vertical="center" wrapText="1"/>
    </xf>
    <xf numFmtId="0" fontId="5" fillId="8" borderId="5" applyAlignment="1" pivotButton="0" quotePrefix="0" xfId="0">
      <alignment horizontal="left" vertical="top" wrapText="1"/>
    </xf>
    <xf numFmtId="0" fontId="4" fillId="8" borderId="5" applyAlignment="1" pivotButton="0" quotePrefix="0" xfId="0">
      <alignment horizontal="left" vertical="top" wrapText="1"/>
    </xf>
    <xf numFmtId="0" fontId="11" fillId="6" borderId="3" applyAlignment="1" pivotButton="0" quotePrefix="0" xfId="0">
      <alignment horizontal="center" vertical="center" wrapText="1"/>
    </xf>
    <xf numFmtId="164" fontId="5" fillId="8" borderId="5" applyAlignment="1" pivotButton="0" quotePrefix="0" xfId="0">
      <alignment horizontal="center" vertical="center" wrapText="1"/>
    </xf>
    <xf numFmtId="0" fontId="10" fillId="9" borderId="5" applyAlignment="1" pivotButton="0" quotePrefix="0" xfId="0">
      <alignment horizontal="center" vertical="center" wrapText="1"/>
    </xf>
    <xf numFmtId="0" fontId="10" fillId="9" borderId="5" applyAlignment="1" pivotButton="0" quotePrefix="0" xfId="0">
      <alignment horizontal="left" vertical="top" wrapText="1"/>
    </xf>
    <xf numFmtId="0" fontId="4" fillId="9" borderId="5" applyAlignment="1" pivotButton="0" quotePrefix="0" xfId="0">
      <alignment horizontal="left" vertical="top" wrapText="1"/>
    </xf>
    <xf numFmtId="164" fontId="5" fillId="9" borderId="5" applyAlignment="1" pivotButton="0" quotePrefix="0" xfId="0">
      <alignment horizontal="center" vertical="center" wrapText="1"/>
    </xf>
    <xf numFmtId="0" fontId="5" fillId="9" borderId="5" applyAlignment="1" pivotButton="0" quotePrefix="0" xfId="0">
      <alignment horizontal="left" vertical="top" wrapText="1"/>
    </xf>
    <xf numFmtId="0" fontId="10" fillId="8" borderId="5" applyAlignment="1" pivotButton="0" quotePrefix="0" xfId="0">
      <alignment horizontal="left" vertical="top" wrapText="1"/>
    </xf>
    <xf numFmtId="0" fontId="0" fillId="10" borderId="0" pivotButton="0" quotePrefix="0" xfId="0"/>
    <xf numFmtId="0" fontId="12" fillId="5" borderId="2" applyAlignment="1" pivotButton="0" quotePrefix="0" xfId="0">
      <alignment horizontal="left" vertical="center" wrapText="1"/>
    </xf>
    <xf numFmtId="0" fontId="0" fillId="5" borderId="0" pivotButton="0" quotePrefix="0" xfId="0"/>
    <xf numFmtId="0" fontId="7" fillId="5" borderId="0" applyAlignment="1" pivotButton="0" quotePrefix="0" xfId="0">
      <alignment horizontal="left" vertical="center" wrapText="1"/>
    </xf>
    <xf numFmtId="0" fontId="8" fillId="11" borderId="4" applyAlignment="1" pivotButton="0" quotePrefix="0" xfId="0">
      <alignment horizontal="center" vertical="center" wrapText="1"/>
    </xf>
    <xf numFmtId="0" fontId="9" fillId="11" borderId="0" applyAlignment="1" pivotButton="0" quotePrefix="0" xfId="0">
      <alignment horizontal="left" vertical="center"/>
    </xf>
    <xf numFmtId="0" fontId="0" fillId="11" borderId="0" pivotButton="0" quotePrefix="0" xfId="0"/>
    <xf numFmtId="0" fontId="10" fillId="5" borderId="5" applyAlignment="1" pivotButton="0" quotePrefix="0" xfId="0">
      <alignment horizontal="center" vertical="center" wrapText="1"/>
    </xf>
    <xf numFmtId="0" fontId="5" fillId="5" borderId="5" applyAlignment="1" pivotButton="0" quotePrefix="0" xfId="0">
      <alignment horizontal="left" vertical="top" wrapText="1"/>
    </xf>
    <xf numFmtId="0" fontId="4" fillId="5" borderId="5" applyAlignment="1" pivotButton="0" quotePrefix="0" xfId="0">
      <alignment horizontal="left" vertical="top" wrapText="1"/>
    </xf>
    <xf numFmtId="164" fontId="5" fillId="5" borderId="5" applyAlignment="1" pivotButton="0" quotePrefix="0" xfId="0">
      <alignment horizontal="center" vertical="center" wrapText="1"/>
    </xf>
    <xf numFmtId="0" fontId="10" fillId="5" borderId="5" applyAlignment="1" pivotButton="0" quotePrefix="0" xfId="0">
      <alignment horizontal="left" vertical="top" wrapText="1"/>
    </xf>
    <xf numFmtId="0" fontId="13" fillId="4" borderId="4" applyAlignment="1" pivotButton="0" quotePrefix="0" xfId="0">
      <alignment horizontal="center" vertical="center" wrapText="1"/>
    </xf>
    <xf numFmtId="0" fontId="0" fillId="4" borderId="4" pivotButton="0" quotePrefix="0" xfId="0"/>
    <xf numFmtId="49" fontId="14" fillId="8" borderId="4" applyAlignment="1" pivotButton="0" quotePrefix="0" xfId="0">
      <alignment horizontal="center" vertical="center" wrapText="1"/>
    </xf>
    <xf numFmtId="0" fontId="0" fillId="0" borderId="4" pivotButton="0" quotePrefix="0" xfId="0"/>
    <xf numFmtId="0" fontId="15" fillId="8" borderId="4" applyAlignment="1" pivotButton="0" quotePrefix="0" xfId="0">
      <alignment horizontal="center" vertical="center" wrapText="1"/>
    </xf>
    <xf numFmtId="0" fontId="16" fillId="10" borderId="0" applyAlignment="1" pivotButton="0" quotePrefix="0" xfId="0">
      <alignment horizontal="left" vertical="top" wrapText="1"/>
    </xf>
    <xf numFmtId="0" fontId="5" fillId="4" borderId="4" applyAlignment="1" pivotButton="0" quotePrefix="0" xfId="0">
      <alignment horizontal="left" vertical="center" wrapText="1"/>
    </xf>
    <xf numFmtId="2" fontId="5" fillId="4" borderId="4" applyAlignment="1" pivotButton="0" quotePrefix="0" xfId="0">
      <alignment horizontal="center" vertical="center" wrapText="1"/>
    </xf>
    <xf numFmtId="0" fontId="5" fillId="4" borderId="4" applyAlignment="1" pivotButton="0" quotePrefix="0" xfId="0">
      <alignment horizontal="center" vertical="center" wrapText="1"/>
    </xf>
    <xf numFmtId="0" fontId="4" fillId="8" borderId="5" applyAlignment="1" pivotButton="0" quotePrefix="0" xfId="0">
      <alignment horizontal="left" vertical="center" wrapText="1"/>
    </xf>
    <xf numFmtId="2" fontId="5" fillId="8" borderId="5" applyAlignment="1" pivotButton="0" quotePrefix="0" xfId="0">
      <alignment horizontal="center" vertical="center" wrapText="1"/>
    </xf>
    <xf numFmtId="0" fontId="4" fillId="8" borderId="5" applyAlignment="1" pivotButton="0" quotePrefix="0" xfId="0">
      <alignment horizontal="center" vertical="center" wrapText="1"/>
    </xf>
    <xf numFmtId="0" fontId="5" fillId="5" borderId="4" applyAlignment="1" pivotButton="0" quotePrefix="0" xfId="0">
      <alignment horizontal="left" vertical="center" wrapText="1"/>
    </xf>
    <xf numFmtId="2" fontId="5" fillId="5" borderId="4" applyAlignment="1" pivotButton="0" quotePrefix="0" xfId="0">
      <alignment horizontal="center" vertical="center" wrapText="1"/>
    </xf>
    <xf numFmtId="0" fontId="5" fillId="5" borderId="4" applyAlignment="1" pivotButton="0" quotePrefix="0" xfId="0">
      <alignment horizontal="center" vertical="center" wrapText="1"/>
    </xf>
    <xf numFmtId="2" fontId="5" fillId="8" borderId="4" applyAlignment="1" pivotButton="0" quotePrefix="0" xfId="0">
      <alignment horizontal="center" vertical="center" wrapText="1"/>
    </xf>
    <xf numFmtId="0" fontId="2" fillId="11" borderId="0" applyAlignment="1" pivotButton="0" quotePrefix="0" xfId="0">
      <alignment horizontal="left" vertical="center"/>
    </xf>
    <xf numFmtId="0" fontId="7" fillId="4" borderId="0" applyAlignment="1" pivotButton="0" quotePrefix="0" xfId="0">
      <alignment horizontal="left" vertical="top" wrapText="1"/>
    </xf>
    <xf numFmtId="0" fontId="17" fillId="12" borderId="4" applyAlignment="1" pivotButton="0" quotePrefix="0" xfId="0">
      <alignment horizontal="center" vertical="center" wrapText="1"/>
    </xf>
    <xf numFmtId="0" fontId="4" fillId="12" borderId="4" applyAlignment="1" pivotButton="0" quotePrefix="0" xfId="0">
      <alignment horizontal="left" vertical="top" wrapText="1"/>
    </xf>
    <xf numFmtId="0" fontId="17" fillId="13" borderId="4" applyAlignment="1" pivotButton="0" quotePrefix="0" xfId="0">
      <alignment horizontal="center" vertical="center" wrapText="1"/>
    </xf>
    <xf numFmtId="0" fontId="4" fillId="13" borderId="4" applyAlignment="1" pivotButton="0" quotePrefix="0" xfId="0">
      <alignment horizontal="left" vertical="top" wrapText="1"/>
    </xf>
    <xf numFmtId="0" fontId="17" fillId="14" borderId="4" applyAlignment="1" pivotButton="0" quotePrefix="0" xfId="0">
      <alignment horizontal="center" vertical="center" wrapText="1"/>
    </xf>
    <xf numFmtId="0" fontId="4" fillId="14" borderId="4" applyAlignment="1" pivotButton="0" quotePrefix="0" xfId="0">
      <alignment horizontal="left" vertical="top" wrapText="1"/>
    </xf>
    <xf numFmtId="0" fontId="17" fillId="15" borderId="4" applyAlignment="1" pivotButton="0" quotePrefix="0" xfId="0">
      <alignment horizontal="center" vertical="center" wrapText="1"/>
    </xf>
    <xf numFmtId="0" fontId="4" fillId="15" borderId="4" applyAlignment="1" pivotButton="0" quotePrefix="0" xfId="0">
      <alignment horizontal="left" vertical="top" wrapText="1"/>
    </xf>
    <xf numFmtId="0" fontId="17" fillId="16" borderId="4" applyAlignment="1" pivotButton="0" quotePrefix="0" xfId="0">
      <alignment horizontal="center" vertical="center" wrapText="1"/>
    </xf>
    <xf numFmtId="0" fontId="4" fillId="16" borderId="4" applyAlignment="1" pivotButton="0" quotePrefix="0" xfId="0">
      <alignment horizontal="left" vertical="top" wrapText="1"/>
    </xf>
    <xf numFmtId="0" fontId="7" fillId="5" borderId="0" applyAlignment="1" pivotButton="0" quotePrefix="0" xfId="0">
      <alignment horizontal="left" vertical="top" wrapText="1"/>
    </xf>
    <xf numFmtId="0" fontId="9" fillId="7" borderId="0" applyAlignment="1" pivotButton="0" quotePrefix="0" xfId="0">
      <alignment horizontal="left" vertical="center"/>
    </xf>
    <xf numFmtId="0" fontId="0" fillId="7" borderId="0" pivotButton="0" quotePrefix="0" xfId="0"/>
    <xf numFmtId="0" fontId="8" fillId="7" borderId="4" applyAlignment="1" pivotButton="0" quotePrefix="0" xfId="0">
      <alignment horizontal="left" vertical="center" wrapText="1"/>
    </xf>
    <xf numFmtId="0" fontId="5" fillId="8" borderId="5" applyAlignment="1" pivotButton="0" quotePrefix="0" xfId="0">
      <alignment horizontal="left" vertical="center" wrapText="1"/>
    </xf>
    <xf numFmtId="2" fontId="4" fillId="8" borderId="5" applyAlignment="1" pivotButton="0" quotePrefix="0" xfId="0">
      <alignment horizontal="left" vertical="center" wrapText="1"/>
    </xf>
    <xf numFmtId="0" fontId="8" fillId="3" borderId="4" applyAlignment="1" pivotButton="0" quotePrefix="0" xfId="0">
      <alignment horizontal="center" vertical="center" wrapText="1"/>
    </xf>
    <xf numFmtId="0" fontId="5" fillId="8" borderId="4" applyAlignment="1" pivotButton="0" quotePrefix="0" xfId="0">
      <alignment horizontal="center" vertical="center" wrapText="1"/>
    </xf>
    <xf numFmtId="0" fontId="4" fillId="8" borderId="4" applyAlignment="1" pivotButton="0" quotePrefix="0" xfId="0">
      <alignment horizontal="left" vertical="center" wrapText="1"/>
    </xf>
    <xf numFmtId="0" fontId="4" fillId="8" borderId="4" applyAlignment="1" pivotButton="0" quotePrefix="0" xfId="0">
      <alignment horizontal="center" vertical="center" wrapText="1"/>
    </xf>
  </cellXfs>
  <cellStyles count="1">
    <cellStyle name="Normal" xfId="0" builtinId="0" hidden="0"/>
  </cellStyles>
  <dxfs count="4">
    <dxf>
      <fill>
        <patternFill patternType="solid">
          <fgColor rgb="00FEE2E2"/>
        </patternFill>
      </fill>
    </dxf>
    <dxf>
      <fill>
        <patternFill patternType="solid">
          <fgColor rgb="00FED7AA"/>
        </patternFill>
      </fill>
    </dxf>
    <dxf>
      <fill>
        <patternFill patternType="solid">
          <fgColor rgb="00FEF3C7"/>
        </patternFill>
      </fill>
    </dxf>
    <dxf>
      <fill>
        <patternFill patternType="solid">
          <f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TIBMM Tier Scores</a:t>
            </a:r>
          </a:p>
        </rich>
      </tx>
    </title>
    <plotArea>
      <barChart>
        <barDir val="col"/>
        <grouping val="clustered"/>
        <ser>
          <idx val="0"/>
          <order val="0"/>
          <tx>
            <strRef>
              <f>'Tier Scores Chart'!C4</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3B82F6"/>
              </a:solidFill>
              <a:ln xmlns:a="http://schemas.openxmlformats.org/drawingml/2006/main">
                <a:prstDash val="solid"/>
              </a:ln>
            </spPr>
          </dPt>
          <dPt>
            <idx val="2"/>
            <spPr>
              <a:solidFill xmlns:a="http://schemas.openxmlformats.org/drawingml/2006/main">
                <a:srgbClr val="3B82F6"/>
              </a:solidFill>
              <a:ln xmlns:a="http://schemas.openxmlformats.org/drawingml/2006/main">
                <a:prstDash val="solid"/>
              </a:ln>
            </spPr>
          </dPt>
          <dPt>
            <idx val="3"/>
            <spPr>
              <a:solidFill xmlns:a="http://schemas.openxmlformats.org/drawingml/2006/main">
                <a:srgbClr val="3B82F6"/>
              </a:solidFill>
              <a:ln xmlns:a="http://schemas.openxmlformats.org/drawingml/2006/main">
                <a:prstDash val="solid"/>
              </a:ln>
            </spPr>
          </dPt>
          <dPt>
            <idx val="4"/>
            <spPr>
              <a:solidFill xmlns:a="http://schemas.openxmlformats.org/drawingml/2006/main">
                <a:srgbClr val="3B82F6"/>
              </a:solidFill>
              <a:ln xmlns:a="http://schemas.openxmlformats.org/drawingml/2006/main">
                <a:prstDash val="solid"/>
              </a:ln>
            </spPr>
          </dPt>
          <cat>
            <numRef>
              <f>'Tier Scores Chart'!$B$5:$B$9</f>
            </numRef>
          </cat>
          <val>
            <numRef>
              <f>'Tier Scores Chart'!$C$5:$C$9</f>
            </numRef>
          </val>
        </ser>
        <gapWidth val="150"/>
        <axId val="10"/>
        <axId val="100"/>
      </barChart>
      <catAx>
        <axId val="10"/>
        <scaling>
          <orientation val="minMax"/>
        </scaling>
        <axPos val="l"/>
        <majorTickMark val="none"/>
        <minorTickMark val="none"/>
        <crossAx val="100"/>
        <lblOffset val="100"/>
      </catAx>
      <valAx>
        <axId val="100"/>
        <scaling>
          <orientation val="minMax"/>
          <max val="5"/>
          <min val="0"/>
        </scaling>
        <axPos val="l"/>
        <majorGridlines/>
        <title>
          <tx>
            <rich>
              <a:bodyPr xmlns:a="http://schemas.openxmlformats.org/drawingml/2006/main"/>
              <a:p xmlns:a="http://schemas.openxmlformats.org/drawingml/2006/main">
                <a:pPr>
                  <a:defRPr/>
                </a:pPr>
                <a:r>
                  <a:t>Score (1—5)</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Tradecraft &amp; Governance Readiness</a:t>
            </a:r>
          </a:p>
        </rich>
      </tx>
    </title>
    <plotArea>
      <barChart>
        <barDir val="col"/>
        <grouping val="clustered"/>
        <ser>
          <idx val="0"/>
          <order val="0"/>
          <tx>
            <strRef>
              <f>'Readiness Chart'!C4</f>
            </strRef>
          </tx>
          <spPr>
            <a:ln xmlns:a="http://schemas.openxmlformats.org/drawingml/2006/main">
              <a:prstDash val="solid"/>
            </a:ln>
          </spPr>
          <dPt>
            <idx val="0"/>
            <spPr>
              <a:solidFill xmlns:a="http://schemas.openxmlformats.org/drawingml/2006/main">
                <a:srgbClr val="0D7377"/>
              </a:solidFill>
              <a:ln xmlns:a="http://schemas.openxmlformats.org/drawingml/2006/main">
                <a:prstDash val="solid"/>
              </a:ln>
            </spPr>
          </dPt>
          <dPt>
            <idx val="1"/>
            <spPr>
              <a:solidFill xmlns:a="http://schemas.openxmlformats.org/drawingml/2006/main">
                <a:srgbClr val="0D7377"/>
              </a:solidFill>
              <a:ln xmlns:a="http://schemas.openxmlformats.org/drawingml/2006/main">
                <a:prstDash val="solid"/>
              </a:ln>
            </spPr>
          </dPt>
          <cat>
            <numRef>
              <f>'Readiness Chart'!$B$5:$B$6</f>
            </numRef>
          </cat>
          <val>
            <numRef>
              <f>'Readiness Chart'!$C$5:$C$6</f>
            </numRef>
          </val>
        </ser>
        <gapWidth val="150"/>
        <axId val="10"/>
        <axId val="100"/>
      </barChart>
      <catAx>
        <axId val="10"/>
        <scaling>
          <orientation val="minMax"/>
        </scaling>
        <axPos val="l"/>
        <majorTickMark val="none"/>
        <minorTickMark val="none"/>
        <crossAx val="100"/>
        <lblOffset val="100"/>
      </catAx>
      <valAx>
        <axId val="100"/>
        <scaling>
          <orientation val="minMax"/>
          <max val="5"/>
          <min val="0"/>
        </scaling>
        <axPos val="l"/>
        <majorGridlines/>
        <title>
          <tx>
            <rich>
              <a:bodyPr xmlns:a="http://schemas.openxmlformats.org/drawingml/2006/main"/>
              <a:p xmlns:a="http://schemas.openxmlformats.org/drawingml/2006/main">
                <a:pPr>
                  <a:defRPr/>
                </a:pPr>
                <a:r>
                  <a:t>Score (1—5)</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7</row>
      <rowOff>0</rowOff>
    </from>
    <ext cx="64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B2A4A"/>
    <outlinePr summaryBelow="1" summaryRight="1"/>
    <pageSetUpPr/>
  </sheetPr>
  <dimension ref="A1:D61"/>
  <sheetViews>
    <sheetView workbookViewId="0">
      <selection activeCell="A1" sqref="A1"/>
    </sheetView>
  </sheetViews>
  <sheetFormatPr baseColWidth="8" defaultRowHeight="15"/>
  <cols>
    <col width="4" customWidth="1" min="1" max="1"/>
    <col width="45" customWidth="1" min="2" max="2"/>
    <col width="45" customWidth="1" min="3" max="3"/>
    <col width="4" customWidth="1" min="4" max="4"/>
  </cols>
  <sheetData>
    <row r="1" ht="56" customHeight="1">
      <c r="A1" s="1" t="inlineStr">
        <is>
          <t xml:space="preserve">  TIBMM Assessment Tool</t>
        </is>
      </c>
      <c r="B1" s="2" t="n"/>
      <c r="C1" s="2" t="n"/>
      <c r="D1" s="2" t="n"/>
    </row>
    <row r="2" ht="26" customHeight="1">
      <c r="A2" s="3" t="inlineStr">
        <is>
          <t xml:space="preserve">  Threat Intelligence Behavior Maturity Model — Self-Assessment</t>
        </is>
      </c>
      <c r="B2" s="4" t="n"/>
      <c r="C2" s="4" t="n"/>
      <c r="D2" s="4" t="n"/>
    </row>
    <row r="4" ht="28" customHeight="1">
      <c r="B4" s="5" t="inlineStr">
        <is>
          <t>About This Assessment</t>
        </is>
      </c>
      <c r="C4" s="6" t="n"/>
    </row>
    <row r="5">
      <c r="B5" s="7" t="inlineStr">
        <is>
          <t>This workbook assesses the maturity of a Cyber Threat Intelligence (CTI) function using the Threat Intelligence Behavior Maturity Model (TIBMM). TIBMM is tuned for a Canadian telco CTI team operating alongside a SOC, and is a sibling to the Detection Engineering Behavior Maturity Model (DEBMM).</t>
        </is>
      </c>
    </row>
    <row r="6">
      <c r="B6" s="7" t="inlineStr"/>
    </row>
    <row r="7">
      <c r="B7" s="7" t="inlineStr">
        <is>
          <t>It covers 26 criteria across 5 progressive tiers (T0–T4) plus 2 enrichment dimensions (Tradecraft, Governance), with 35 dropdown questions total.</t>
        </is>
      </c>
    </row>
    <row r="8">
      <c r="B8" s="7" t="inlineStr">
        <is>
          <t>All questions use dropdowns (Yes/No or Scale 1—5). No free-text required.</t>
        </is>
      </c>
    </row>
    <row r="10" ht="28" customHeight="1">
      <c r="B10" s="5" t="inlineStr">
        <is>
          <t>How to Use</t>
        </is>
      </c>
      <c r="C10" s="6" t="n"/>
    </row>
    <row r="11">
      <c r="B11" s="7" t="inlineStr">
        <is>
          <t>1.  Go to the Assessment tab and fill in your organization details</t>
        </is>
      </c>
    </row>
    <row r="12">
      <c r="B12" s="7" t="inlineStr">
        <is>
          <t>2.  Answer each question using the dropdown menus in the amber column</t>
        </is>
      </c>
    </row>
    <row r="13">
      <c r="B13" s="7" t="inlineStr">
        <is>
          <t>3.  For Yes/No questions — select from the dropdown</t>
        </is>
      </c>
    </row>
    <row r="14">
      <c r="B14" s="7" t="inlineStr">
        <is>
          <t>4.  For Scale questions (1—5) — select your maturity rating</t>
        </is>
      </c>
    </row>
    <row r="15">
      <c r="B15" s="7" t="inlineStr">
        <is>
          <t>5.  If any term in a question is unfamiliar (PIR, ICD 203, CMF, TaHiTI, Admiralty Code, etc.), open the Glossary tab for a short definition</t>
        </is>
      </c>
    </row>
    <row r="16">
      <c r="B16" s="7" t="inlineStr">
        <is>
          <t>6.  Switch to the Results Dashboard tab to see scores calculated automatically</t>
        </is>
      </c>
    </row>
    <row r="18" ht="28" customHeight="1">
      <c r="B18" s="5" t="inlineStr">
        <is>
          <t>Understanding the Model</t>
        </is>
      </c>
      <c r="C18" s="6" t="n"/>
    </row>
    <row r="19" ht="24" customHeight="1">
      <c r="B19" s="8" t="inlineStr">
        <is>
          <t>TIBMM Core Tiers</t>
        </is>
      </c>
      <c r="C19" s="9" t="inlineStr">
        <is>
          <t>Enrichment Dimensions</t>
        </is>
      </c>
    </row>
    <row r="20">
      <c r="B20" s="7" t="inlineStr">
        <is>
          <t>Tier 0 — Foundation</t>
        </is>
      </c>
      <c r="C20" s="7" t="inlineStr">
        <is>
          <t>Tradecraft &amp; Analyst Capability</t>
        </is>
      </c>
    </row>
    <row r="21">
      <c r="B21" s="7" t="inlineStr">
        <is>
          <t xml:space="preserve">    Role, IOC handling, source list, stakeholder touchpoints</t>
        </is>
      </c>
      <c r="C21" s="7" t="inlineStr">
        <is>
          <t xml:space="preserve">    ICD 203 adherence, framework literacy, peer review</t>
        </is>
      </c>
    </row>
    <row r="22">
      <c r="B22" s="7" t="inlineStr">
        <is>
          <t>Tier 1 — Basic</t>
        </is>
      </c>
      <c r="C22" s="7" t="inlineStr">
        <is>
          <t>Governance, Legal &amp; Improvement</t>
        </is>
      </c>
    </row>
    <row r="23">
      <c r="B23" s="7" t="inlineStr">
        <is>
          <t xml:space="preserve">    PIRs, product template (BLUF), calibrated language, CMF</t>
        </is>
      </c>
      <c r="C23" s="7" t="inlineStr">
        <is>
          <t xml:space="preserve">    PIPEDA / CRTC / Bill C-26 review, CCTX sharing, self-assessment</t>
        </is>
      </c>
    </row>
    <row r="24">
      <c r="B24" s="7" t="inlineStr">
        <is>
          <t>Tier 2 — Operational</t>
        </is>
      </c>
      <c r="C24" s="7" t="inlineStr"/>
    </row>
    <row r="25">
      <c r="B25" s="7" t="inlineStr">
        <is>
          <t xml:space="preserve">    TIP + IOC pipeline, DE handoff, Hunt-team partnership, IR enrichment</t>
        </is>
      </c>
      <c r="C25" s="7" t="inlineStr">
        <is>
          <t>These enrichment dimensions capture</t>
        </is>
      </c>
    </row>
    <row r="26">
      <c r="B26" s="7" t="inlineStr">
        <is>
          <t>Tier 3 — Advanced</t>
        </is>
      </c>
      <c r="C26" s="7" t="inlineStr">
        <is>
          <t>tradecraft and governance factors.</t>
        </is>
      </c>
    </row>
    <row r="27">
      <c r="B27" s="7" t="inlineStr">
        <is>
          <t xml:space="preserve">    Vuln intel, telco fraud, TPRM, Cyber Threat Landscape reporting</t>
        </is>
      </c>
      <c r="C27" s="7" t="inlineStr">
        <is>
          <t>They contribute to the overall score</t>
        </is>
      </c>
    </row>
    <row r="28">
      <c r="B28" s="7" t="inlineStr">
        <is>
          <t>Tier 4 — Leading</t>
        </is>
      </c>
      <c r="C28" s="7" t="inlineStr">
        <is>
          <t>but do not affect TIBMM tier determination.</t>
        </is>
      </c>
    </row>
    <row r="29">
      <c r="B29" s="7" t="inlineStr">
        <is>
          <t xml:space="preserve">    Strategic intel, SATs, outcome attribution, forecast calibration</t>
        </is>
      </c>
      <c r="C29" s="7" t="inlineStr"/>
    </row>
    <row r="31" ht="28" customHeight="1">
      <c r="B31" s="5" t="inlineStr">
        <is>
          <t>Maturity Levels</t>
        </is>
      </c>
      <c r="C31" s="6" t="n"/>
    </row>
    <row r="32">
      <c r="B32" s="7" t="inlineStr">
        <is>
          <t>Each criterion is scored on a 1—5 scale:</t>
        </is>
      </c>
    </row>
    <row r="33">
      <c r="B33" s="7" t="inlineStr"/>
    </row>
    <row r="34">
      <c r="B34" s="7" t="inlineStr">
        <is>
          <t xml:space="preserve">  1 — Initial          Minimal or no structured activity</t>
        </is>
      </c>
    </row>
    <row r="35">
      <c r="B35" s="7" t="inlineStr">
        <is>
          <t xml:space="preserve">  2 — Repeatable    Sporadic, inconsistent efforts</t>
        </is>
      </c>
    </row>
    <row r="36">
      <c r="B36" s="7" t="inlineStr">
        <is>
          <t xml:space="preserve">  3 — Defined         Regular, documented processes followed consistently</t>
        </is>
      </c>
    </row>
    <row r="37">
      <c r="B37" s="7" t="inlineStr">
        <is>
          <t xml:space="preserve">  4 — Managed       Comprehensive, well-integrated with measurable outcomes</t>
        </is>
      </c>
    </row>
    <row r="38">
      <c r="B38" s="7" t="inlineStr">
        <is>
          <t xml:space="preserve">  5 — Optimized     Fully automated, continuously improving</t>
        </is>
      </c>
    </row>
    <row r="40" ht="28" customHeight="1">
      <c r="B40" s="5" t="inlineStr">
        <is>
          <t>Tier Determination</t>
        </is>
      </c>
      <c r="C40" s="6" t="n"/>
    </row>
    <row r="41">
      <c r="B41" s="7" t="inlineStr">
        <is>
          <t>Your achieved TIBMM tier is the highest tier where ALL criteria in that tier (and all lower tiers) score ≥ 3.0 (Defined level). This enforces the progressive nature of the model — solid foundations must precede claiming advanced maturity.</t>
        </is>
      </c>
    </row>
    <row r="42">
      <c r="B42" s="7" t="inlineStr"/>
    </row>
    <row r="43">
      <c r="B43" s="7" t="inlineStr">
        <is>
          <t>Enrichment dimensions (Tradecraft, Governance) contribute to the overall maturity score but are not part of the tier determination logic. A weak enrichment score with a strong tier score predicts fragility under scrutiny.</t>
        </is>
      </c>
    </row>
    <row r="45" ht="28" customHeight="1">
      <c r="B45" s="5" t="inlineStr">
        <is>
          <t>Canadian Telco Context</t>
        </is>
      </c>
      <c r="C45" s="6" t="n"/>
    </row>
    <row r="46">
      <c r="B46" s="7" t="inlineStr">
        <is>
          <t xml:space="preserve">TIBMM practice text is tuned to a Canadian telco CTI function. Expect references to PIPEDA, CASL, CRTC expectations, Bill C-26 (CCSPA), CCCS advisories, CCTX membership, telco-stack vulnerabilities (RAN, core, SS7, Diameter, GTP, 5G), and telco fraud patterns (smishing, SIM swap, number porting, brand impersonation). </t>
        </is>
      </c>
    </row>
    <row r="47">
      <c r="B47" s="7" t="inlineStr"/>
    </row>
    <row r="48">
      <c r="B48" s="7" t="inlineStr">
        <is>
          <t>The framework itself is industry-neutral; only examples are telco-specific.</t>
        </is>
      </c>
    </row>
    <row r="50" ht="28" customHeight="1">
      <c r="B50" s="5" t="inlineStr">
        <is>
          <t>Scoring Paths</t>
        </is>
      </c>
      <c r="C50" s="6" t="n"/>
    </row>
    <row r="51">
      <c r="B51" s="7" t="inlineStr">
        <is>
          <t>1.  This Workbook — fill it out; scores calculate automatically in the Dashboard.</t>
        </is>
      </c>
    </row>
    <row r="52">
      <c r="B52" s="7" t="inlineStr">
        <is>
          <t>2.  Report Data tab — machine-readable; consumed by the PDF/PPT generator.</t>
        </is>
      </c>
    </row>
    <row r="53">
      <c r="B53" s="7" t="inlineStr">
        <is>
          <t>3.  Bi-annual cadence recommended; quarterly KPI check-ins between full runs.</t>
        </is>
      </c>
    </row>
    <row r="55" ht="28" customHeight="1">
      <c r="B55" s="5" t="inlineStr">
        <is>
          <t>References</t>
        </is>
      </c>
      <c r="C55" s="6" t="n"/>
    </row>
    <row r="56">
      <c r="B56" s="7" t="inlineStr">
        <is>
          <t>CTI-CMM (Intel 471 community): https://cti-cmm.org/</t>
        </is>
      </c>
    </row>
    <row r="57">
      <c r="B57" s="7" t="inlineStr">
        <is>
          <t>CREST CTI-MAT: https://www.crest-approved.org/</t>
        </is>
      </c>
    </row>
    <row r="58">
      <c r="B58" s="7" t="inlineStr">
        <is>
          <t>SANS Intelligence Analyst's Playbook (Matt Edmondson, CD_OSINT_02-26)</t>
        </is>
      </c>
    </row>
    <row r="59">
      <c r="B59" s="7" t="inlineStr">
        <is>
          <t>ICD 203 (ODNI, 2015): https://www.dni.gov/files/documents/ICD/ICD-203.pdf</t>
        </is>
      </c>
    </row>
    <row r="60">
      <c r="B60" s="7" t="inlineStr">
        <is>
          <t>TaHiTI threat hunting methodology (FI-ISAC / Dutch Payments Association)</t>
        </is>
      </c>
    </row>
    <row r="61">
      <c r="B61" s="7" t="inlineStr">
        <is>
          <t>MITRE ATT&amp;CK: https://attack.mitre.org/</t>
        </is>
      </c>
    </row>
  </sheetData>
  <mergeCells count="42">
    <mergeCell ref="B47:C47"/>
    <mergeCell ref="B16:C16"/>
    <mergeCell ref="B7:C7"/>
    <mergeCell ref="B59:C59"/>
    <mergeCell ref="B46:C46"/>
    <mergeCell ref="B31:C31"/>
    <mergeCell ref="B18:C18"/>
    <mergeCell ref="B56:C56"/>
    <mergeCell ref="B43:C43"/>
    <mergeCell ref="B12:C12"/>
    <mergeCell ref="B58:C58"/>
    <mergeCell ref="B52:C52"/>
    <mergeCell ref="B48:C48"/>
    <mergeCell ref="B11:C11"/>
    <mergeCell ref="B42:C42"/>
    <mergeCell ref="B61:C61"/>
    <mergeCell ref="B14:C14"/>
    <mergeCell ref="B60:C60"/>
    <mergeCell ref="B57:C57"/>
    <mergeCell ref="B8:C8"/>
    <mergeCell ref="B53:C53"/>
    <mergeCell ref="B13:C13"/>
    <mergeCell ref="A1:D1"/>
    <mergeCell ref="B38:C38"/>
    <mergeCell ref="B34:C34"/>
    <mergeCell ref="B37:C37"/>
    <mergeCell ref="B10:C10"/>
    <mergeCell ref="B40:C40"/>
    <mergeCell ref="B55:C55"/>
    <mergeCell ref="B6:C6"/>
    <mergeCell ref="B15:C15"/>
    <mergeCell ref="B33:C33"/>
    <mergeCell ref="B5:C5"/>
    <mergeCell ref="B51:C51"/>
    <mergeCell ref="B45:C45"/>
    <mergeCell ref="B36:C36"/>
    <mergeCell ref="B32:C32"/>
    <mergeCell ref="B50:C50"/>
    <mergeCell ref="A2:D2"/>
    <mergeCell ref="B41:C41"/>
    <mergeCell ref="B35:C35"/>
    <mergeCell ref="B4:C4"/>
  </mergeCells>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G65"/>
  <sheetViews>
    <sheetView workbookViewId="0">
      <pane ySplit="12" topLeftCell="A13" activePane="bottomLeft" state="frozen"/>
      <selection pane="bottomLeft" activeCell="A1" sqref="A1"/>
    </sheetView>
  </sheetViews>
  <sheetFormatPr baseColWidth="8" defaultRowHeight="15"/>
  <cols>
    <col width="2" customWidth="1" min="1" max="1"/>
    <col width="7" customWidth="1" min="2" max="2"/>
    <col width="26" customWidth="1" min="3" max="3"/>
    <col width="78" customWidth="1" min="4" max="4"/>
    <col width="14" customWidth="1" min="5" max="5"/>
    <col width="10" customWidth="1" min="6" max="6"/>
    <col width="2" customWidth="1" min="7" max="7"/>
  </cols>
  <sheetData>
    <row r="1" ht="52" customHeight="1">
      <c r="A1" s="1" t="inlineStr">
        <is>
          <t xml:space="preserve">  TIBMM Assessment</t>
        </is>
      </c>
      <c r="B1" s="2" t="n"/>
      <c r="C1" s="2" t="n"/>
      <c r="D1" s="2" t="n"/>
      <c r="E1" s="2" t="n"/>
      <c r="F1" s="2" t="n"/>
      <c r="G1" s="2" t="n"/>
    </row>
    <row r="2" ht="24" customHeight="1">
      <c r="A2" s="3" t="inlineStr">
        <is>
          <t xml:space="preserve">  Threat Intelligence Behavior Maturity Model</t>
        </is>
      </c>
      <c r="B2" s="4" t="n"/>
      <c r="C2" s="4" t="n"/>
      <c r="D2" s="4" t="n"/>
      <c r="E2" s="4" t="n"/>
      <c r="F2" s="4" t="n"/>
      <c r="G2" s="4" t="n"/>
    </row>
    <row r="3" ht="8" customHeight="1"/>
    <row r="4">
      <c r="C4" s="10" t="inlineStr">
        <is>
          <t>Organization:</t>
        </is>
      </c>
      <c r="D4" s="11" t="n"/>
      <c r="E4" s="12" t="n"/>
    </row>
    <row r="5">
      <c r="C5" s="10" t="inlineStr">
        <is>
          <t>Assessor Name:</t>
        </is>
      </c>
      <c r="D5" s="11" t="n"/>
      <c r="E5" s="12" t="n"/>
    </row>
    <row r="6">
      <c r="C6" s="10" t="inlineStr">
        <is>
          <t>Assessor Role:</t>
        </is>
      </c>
      <c r="D6" s="11" t="n"/>
      <c r="E6" s="12" t="n"/>
    </row>
    <row r="7">
      <c r="C7" s="10" t="inlineStr">
        <is>
          <t>Date:</t>
        </is>
      </c>
      <c r="D7" s="11" t="n"/>
      <c r="E7" s="12" t="n"/>
    </row>
    <row r="8">
      <c r="C8" s="10" t="inlineStr">
        <is>
          <t>Assessment Type:</t>
        </is>
      </c>
      <c r="D8" s="11" t="inlineStr">
        <is>
          <t>Self-Assessment</t>
        </is>
      </c>
      <c r="E8" s="12" t="n"/>
    </row>
    <row r="10" ht="32" customHeight="1">
      <c r="B10" s="5" t="inlineStr">
        <is>
          <t>TIBMM CORE ASSESSMENT — Tiers 0—4</t>
        </is>
      </c>
      <c r="C10" s="6" t="n"/>
      <c r="D10" s="6" t="n"/>
      <c r="E10" s="6" t="n"/>
      <c r="F10" s="6" t="n"/>
    </row>
    <row r="11" ht="22" customHeight="1">
      <c r="B11" s="13" t="inlineStr">
        <is>
          <t>Rate your team across the 5 progressive TIBMM tiers. Your achieved tier is the highest where all criteria score ≥ 3.0.</t>
        </is>
      </c>
      <c r="C11" s="6" t="n"/>
      <c r="D11" s="6" t="n"/>
      <c r="E11" s="6" t="n"/>
      <c r="F11" s="6" t="n"/>
    </row>
    <row r="12" ht="26" customHeight="1">
      <c r="B12" s="14" t="inlineStr">
        <is>
          <t>ID</t>
        </is>
      </c>
      <c r="C12" s="14" t="inlineStr">
        <is>
          <t>Criterion</t>
        </is>
      </c>
      <c r="D12" s="14" t="inlineStr">
        <is>
          <t>Question</t>
        </is>
      </c>
      <c r="E12" s="14" t="inlineStr">
        <is>
          <t>Answer</t>
        </is>
      </c>
      <c r="F12" s="14" t="inlineStr">
        <is>
          <t>Score</t>
        </is>
      </c>
    </row>
    <row r="13" ht="34" customHeight="1">
      <c r="B13" s="15" t="inlineStr">
        <is>
          <t xml:space="preserve">  TIER 0: FOUNDATION</t>
        </is>
      </c>
      <c r="C13" s="4" t="n"/>
      <c r="D13" s="4" t="n"/>
      <c r="E13" s="4" t="n"/>
      <c r="F13" s="4" t="n"/>
    </row>
    <row r="14" ht="20" customHeight="1">
      <c r="B14" s="13" t="inlineStr">
        <is>
          <t>The CTI function exists as a distinct capability with a known scope.</t>
        </is>
      </c>
      <c r="C14" s="6" t="n"/>
      <c r="D14" s="6" t="n"/>
      <c r="E14" s="6" t="n"/>
      <c r="F14" s="6" t="n"/>
    </row>
    <row r="15" ht="115" customHeight="1">
      <c r="B15" s="16" t="inlineStr">
        <is>
          <t>T0-Q1</t>
        </is>
      </c>
      <c r="C15" s="17" t="inlineStr">
        <is>
          <t>Mission, Charter, and Service Catalog</t>
        </is>
      </c>
      <c r="D15" s="18" t="inlineStr">
        <is>
          <t>Rate the maturity of your CTI team's charter, mission, and service catalog.
1 — No written charter or service catalog; stakeholder descriptions of CTI's role diverge significantly
2 — Informal 1-page description exists; not signed off, not socialized (&lt;30% of stakeholders have seen it)
3 — Current charter approved in the last 12 months; service catalog lists at least 3 service types; stakeholders can describe what CTI delivers
4 — Annual review on calendar; RACI defined with stakeholders; intake queue lives in a ticketing system
5 — Service-level usage metrics reported quarterly; charter referenced in budget and headcount conversations</t>
        </is>
      </c>
      <c r="E15" s="19" t="n"/>
      <c r="F15" s="20">
        <f>IF(E15="","",E15)</f>
        <v/>
      </c>
    </row>
    <row r="16" ht="35" customHeight="1">
      <c r="B16" s="21" t="inlineStr">
        <is>
          <t>T0-Q2</t>
        </is>
      </c>
      <c r="C16" s="22" t="inlineStr">
        <is>
          <t>Mission, Charter, and Service Catalog</t>
        </is>
      </c>
      <c r="D16" s="23" t="inlineStr">
        <is>
          <t>Does your CTI team have a published service catalog naming the products and services it delivers?</t>
        </is>
      </c>
      <c r="E16" s="19" t="n"/>
      <c r="F16" s="24">
        <f>IF(E16="Yes",3,IF(E16="No",1,""))</f>
        <v/>
      </c>
    </row>
    <row r="17" ht="115" customHeight="1">
      <c r="B17" s="16" t="inlineStr">
        <is>
          <t>T0-Q3</t>
        </is>
      </c>
      <c r="C17" s="17" t="inlineStr">
        <is>
          <t>Indicator of Compromise Handling</t>
        </is>
      </c>
      <c r="D17" s="18" t="inlineStr">
        <is>
          <t>Rate the maturity of your team's Indicator of Compromise (IOC) handling.
1 — No queue; IOCs handled ad-hoc by whoever notices; no record of IOCs actioned in the last 90 days
2 — Manual forwarding to SOC or hunt on best-effort basis; &lt;50% enriched before handoff
3 — Documented triage SOP; &gt;=80% of IOCs carry source, confidence, and disposition; named downstream owners
4 — TIP or ticket-based tracking; &gt;=90% capture disposition; true/false-positive feedback rate measured
5 — &gt;=80% of IOC lifecycle automated (ingest, enrich, score, deploy, expire); analyst attention on exceptions only</t>
        </is>
      </c>
      <c r="E17" s="19" t="n"/>
      <c r="F17" s="20">
        <f>IF(E17="","",E17)</f>
        <v/>
      </c>
    </row>
    <row r="18" ht="35" customHeight="1">
      <c r="B18" s="21" t="inlineStr">
        <is>
          <t>T0-Q4</t>
        </is>
      </c>
      <c r="C18" s="22" t="inlineStr">
        <is>
          <t>Indicator of Compromise Handling</t>
        </is>
      </c>
      <c r="D18" s="23" t="inlineStr">
        <is>
          <t>Are all inbound IOCs captured in a tracking system (TIP, ticket queue, or equivalent) rather than email?</t>
        </is>
      </c>
      <c r="E18" s="19" t="n"/>
      <c r="F18" s="24">
        <f>IF(E18="Yes",3,IF(E18="No",1,""))</f>
        <v/>
      </c>
    </row>
    <row r="19" ht="115" customHeight="1">
      <c r="B19" s="16" t="inlineStr">
        <is>
          <t>T0-Q5</t>
        </is>
      </c>
      <c r="C19" s="17" t="inlineStr">
        <is>
          <t>Intelligence Source Inventory</t>
        </is>
      </c>
      <c r="D19" s="18" t="inlineStr">
        <is>
          <t>Rate the completeness of your intelligence source inventory.
1 — No written source list; subscribed feeds live in individual analyst heads
2 — Spreadsheet or wiki list exists; &lt;50% of entries have an owner and last-review date
3 — &gt;=90% of sources have owner, purpose, cost, renewal, and review date; inventory reviewed at least annually
4 — Sources rated for quality (CRAAP or Admiralty-style); low-value sources retired; gap list maintained
5 — Source ROI measured against PIRs; changes tied to explicit business cases; cost-per-useful-product tracked</t>
        </is>
      </c>
      <c r="E19" s="19" t="n"/>
      <c r="F19" s="20">
        <f>IF(E19="","",E19)</f>
        <v/>
      </c>
    </row>
    <row r="20" ht="115" customHeight="1">
      <c r="B20" s="21" t="inlineStr">
        <is>
          <t>T0-Q6</t>
        </is>
      </c>
      <c r="C20" s="25" t="inlineStr">
        <is>
          <t>Stakeholder Awareness and Access</t>
        </is>
      </c>
      <c r="D20" s="23" t="inlineStr">
        <is>
          <t>Rate how well your stakeholder teams (SOC, DE, IR, VM) can engage CTI.
1 — Stakeholders cannot consistently name a CTI contact; engagement is person-dependent
2 — Informal relationships with 1-2 stakeholder teams; no recurring cadence
3 — Named POCs published for SOC, DE, IR; at least one recurring cadence in place
4 — &gt;=4 recurring stakeholder cadences with agendas; RFI path used and logged
5 — Annual NPS (or equivalent) measured; cadence and services adjusted based on feedback; new stakeholders onboarded via defined intake</t>
        </is>
      </c>
      <c r="E20" s="19" t="n"/>
      <c r="F20" s="24">
        <f>IF(E20="","",E20)</f>
        <v/>
      </c>
    </row>
    <row r="21" ht="34" customHeight="1">
      <c r="B21" s="15" t="inlineStr">
        <is>
          <t xml:space="preserve">  TIER 1: BASIC</t>
        </is>
      </c>
      <c r="C21" s="4" t="n"/>
      <c r="D21" s="4" t="n"/>
      <c r="E21" s="4" t="n"/>
      <c r="F21" s="4" t="n"/>
    </row>
    <row r="22" ht="20" customHeight="1">
      <c r="B22" s="13" t="inlineStr">
        <is>
          <t>CTI operates from written Priority Intelligence Requirements, uses a consistent product template with BLUF structure, applies calibrated probability language, and rates sources for reliability.</t>
        </is>
      </c>
      <c r="C22" s="6" t="n"/>
      <c r="D22" s="6" t="n"/>
      <c r="E22" s="6" t="n"/>
      <c r="F22" s="6" t="n"/>
    </row>
    <row r="23" ht="115" customHeight="1">
      <c r="B23" s="16" t="inlineStr">
        <is>
          <t>T1-Q1</t>
        </is>
      </c>
      <c r="C23" s="17" t="inlineStr">
        <is>
          <t>Priority Intelligence Requirements (PIRs)</t>
        </is>
      </c>
      <c r="D23" s="18" t="inlineStr">
        <is>
          <t>Rate the maturity of your Priority Intelligence Requirements (PIRs).
1 — No PIRs; collection driven by whatever catches analyst attention
2 — Legacy PIR deck exists but not reviewed in &gt;12 months; &lt;30% of current collection traces to it
3 — 6-12 current PIRs documented, each with named stakeholder and business question; reviewed within the last 12 months
4 — &gt;=80% of PIRs decomposed into Specific Intelligence Requirements (SIRs); PIR coverage rate tracked
5 — Documented PIR lifecycle with stakeholder workshops, risk-register alignment, retirement list, and quarterly metrics</t>
        </is>
      </c>
      <c r="E23" s="19" t="n"/>
      <c r="F23" s="20">
        <f>IF(E23="","",E23)</f>
        <v/>
      </c>
    </row>
    <row r="24" ht="35" customHeight="1">
      <c r="B24" s="21" t="inlineStr">
        <is>
          <t>T1-Q2</t>
        </is>
      </c>
      <c r="C24" s="22" t="inlineStr">
        <is>
          <t>Priority Intelligence Requirements (PIRs)</t>
        </is>
      </c>
      <c r="D24" s="23" t="inlineStr">
        <is>
          <t>Does every major CTI product cite at least one PIR it supports?</t>
        </is>
      </c>
      <c r="E24" s="19" t="n"/>
      <c r="F24" s="24">
        <f>IF(E24="Yes",3,IF(E24="No",1,""))</f>
        <v/>
      </c>
    </row>
    <row r="25" ht="115" customHeight="1">
      <c r="B25" s="16" t="inlineStr">
        <is>
          <t>T1-Q3</t>
        </is>
      </c>
      <c r="C25" s="17" t="inlineStr">
        <is>
          <t>Product Template and BLUF Structure</t>
        </is>
      </c>
      <c r="D25" s="18" t="inlineStr">
        <is>
          <t>Rate the consistency of your product template and use of BLUF structure.
1 — No template; reports vary widely; BLUF absent or buried
2 — Template exists but &lt;60% of products conform; BLUF often confused with executive summary
3 — &gt;=90% of products conform; BLUF is the first paragraph with key judgments; distinct evidence/analysis/implications sections
4 — Template includes alternatives considered and customer-relevance; version-controlled; analyst-reviewed changes
5 — Template benchmarked against ICD 203; peer review catches deviations; trained competency</t>
        </is>
      </c>
      <c r="E25" s="19" t="n"/>
      <c r="F25" s="20">
        <f>IF(E25="","",E25)</f>
        <v/>
      </c>
    </row>
    <row r="26" ht="115" customHeight="1">
      <c r="B26" s="21" t="inlineStr">
        <is>
          <t>T1-Q4</t>
        </is>
      </c>
      <c r="C26" s="25" t="inlineStr">
        <is>
          <t>Calibrated Language and Source Reliability</t>
        </is>
      </c>
      <c r="D26" s="23" t="inlineStr">
        <is>
          <t>Rate your use of calibrated probability language and source reliability ratings.
1 — No calibrated scale; no source reliability ratings; confidence is implicit
2 — Team aware of calibrated language and Admiralty/NATO ratings; &lt;50% of judgments apply them
3 — &gt;=90% of key judgments use calibrated probability language; &gt;=90% of sources have reliability/credibility ratings
4 — Template enforces calibrated language and source rating; peer review checklist references ICD 203
5 — Forecast calibration measured (Brier score or equivalent); miscalibration drives retraining</t>
        </is>
      </c>
      <c r="E26" s="19" t="n"/>
      <c r="F26" s="24">
        <f>IF(E26="","",E26)</f>
        <v/>
      </c>
    </row>
    <row r="27" ht="35" customHeight="1">
      <c r="B27" s="16" t="inlineStr">
        <is>
          <t>T1-Q5</t>
        </is>
      </c>
      <c r="C27" s="26" t="inlineStr">
        <is>
          <t>Calibrated Language and Source Reliability</t>
        </is>
      </c>
      <c r="D27" s="18" t="inlineStr">
        <is>
          <t>Has the team adopted a published calibrated probability scale (e.g., ODNI 8-level)?</t>
        </is>
      </c>
      <c r="E27" s="19" t="n"/>
      <c r="F27" s="20">
        <f>IF(E27="Yes",3,IF(E27="No",1,""))</f>
        <v/>
      </c>
    </row>
    <row r="28" ht="115" customHeight="1">
      <c r="B28" s="21" t="inlineStr">
        <is>
          <t>T1-Q6</t>
        </is>
      </c>
      <c r="C28" s="25" t="inlineStr">
        <is>
          <t>Collection Management Framework (CMF)</t>
        </is>
      </c>
      <c r="D28" s="23" t="inlineStr">
        <is>
          <t>Rate the maturity of your Collection Management Framework (CMF).
1 — No CMF; no mapping from sources to PIRs
2 — Draft CMF exists in spreadsheet form; &lt;30% of sources mapped to PIRs
3 — Documented CMF with &gt;=80% of sources mapped to PIRs/SIRs; coverage gaps visible
4 — Quarterly CMF review; CRAAP ratings on &gt;=80% of sources; passive-vs-active collection tagged
5 — Per-PIR collection plan; source cost/coverage/ROI tracked; defensible to leadership and auditors</t>
        </is>
      </c>
      <c r="E28" s="19" t="n"/>
      <c r="F28" s="24">
        <f>IF(E28="","",E28)</f>
        <v/>
      </c>
    </row>
    <row r="29" ht="34" customHeight="1">
      <c r="B29" s="15" t="inlineStr">
        <is>
          <t xml:space="preserve">  TIER 2: OPERATIONAL</t>
        </is>
      </c>
      <c r="C29" s="4" t="n"/>
      <c r="D29" s="4" t="n"/>
      <c r="E29" s="4" t="n"/>
      <c r="F29" s="4" t="n"/>
    </row>
    <row r="30" ht="20" customHeight="1">
      <c r="B30" s="13" t="inlineStr">
        <is>
          <t>A Threat Intelligence Platform (or equivalent) is in place; IOC flow to SIEM and EDR is automated; Detection Engineering handoff is scheduled; CTI partners with the dedicated Threat Hunting team on a cadence; and Incident Response is enriched with CTI context on every incident.</t>
        </is>
      </c>
      <c r="C30" s="6" t="n"/>
      <c r="D30" s="6" t="n"/>
      <c r="E30" s="6" t="n"/>
      <c r="F30" s="6" t="n"/>
    </row>
    <row r="31" ht="115" customHeight="1">
      <c r="B31" s="16" t="inlineStr">
        <is>
          <t>T2-Q1</t>
        </is>
      </c>
      <c r="C31" s="17" t="inlineStr">
        <is>
          <t>Threat Intelligence Platform and IOC Pipeline</t>
        </is>
      </c>
      <c r="D31" s="18" t="inlineStr">
        <is>
          <t>Rate the maturity of your Threat Intelligence Platform (TIP) and IOC pipeline.
1 — No TIP; IOCs in spreadsheets, emails, or hand-updated SIEM watchlists
2 — TIP deployed but underutilized; &lt;50% of feeds ingested; manual SIEM push
3 — &gt;=5 feeds ingested via STIX/TAXII or API; SIEM push automated; IOC expiration policy configured
4 — Closed-loop SOC feedback adjusts source fidelity scoring; high-fidelity indicators can trigger SOAR blocking
5 — TIP is the single source of truth across SIEM/EDR/SOAR/firewalls; pipeline SLOs monitored; analyst pivoting standard</t>
        </is>
      </c>
      <c r="E31" s="19" t="n"/>
      <c r="F31" s="20">
        <f>IF(E31="","",E31)</f>
        <v/>
      </c>
    </row>
    <row r="32" ht="35" customHeight="1">
      <c r="B32" s="21" t="inlineStr">
        <is>
          <t>T2-Q2</t>
        </is>
      </c>
      <c r="C32" s="22" t="inlineStr">
        <is>
          <t>Threat Intelligence Platform and IOC Pipeline</t>
        </is>
      </c>
      <c r="D32" s="23" t="inlineStr">
        <is>
          <t>Is a Threat Intelligence Platform deployed and actively used by analysts?</t>
        </is>
      </c>
      <c r="E32" s="19" t="n"/>
      <c r="F32" s="24">
        <f>IF(E32="Yes",3,IF(E32="No",1,""))</f>
        <v/>
      </c>
    </row>
    <row r="33" ht="115" customHeight="1">
      <c r="B33" s="16" t="inlineStr">
        <is>
          <t>T2-Q3</t>
        </is>
      </c>
      <c r="C33" s="17" t="inlineStr">
        <is>
          <t>Detection Engineering Handoff</t>
        </is>
      </c>
      <c r="D33" s="18" t="inlineStr">
        <is>
          <t>Rate the maturity of the CTI-to-Detection-Engineering handoff.
1 — Ad-hoc interaction; verbal or email requests; no backlog; no provenance on shipped rules
2 — &lt;1 formal request per month; no cadence; no template
3 — &gt;=1 CTI-to-DE cadence per month; standard request template (threat, TTP, ATT&amp;CK ID, suggested logic); backlog visible to both teams
4 — CTI-driven detections tagged in the Detection-as-Code repo; hit rate and FP rate measured against CTI rules
5 — Lead time from CTI request to deployed detection measured; ATT&amp;CK coverage map auto-generated; CTI influences DE roadmap</t>
        </is>
      </c>
      <c r="E33" s="19" t="n"/>
      <c r="F33" s="20">
        <f>IF(E33="","",E33)</f>
        <v/>
      </c>
    </row>
    <row r="34" ht="115" customHeight="1">
      <c r="B34" s="21" t="inlineStr">
        <is>
          <t>T2-Q4</t>
        </is>
      </c>
      <c r="C34" s="25" t="inlineStr">
        <is>
          <t>Collaboration with the Threat Hunting Team</t>
        </is>
      </c>
      <c r="D34" s="23" t="inlineStr">
        <is>
          <t>Rate the maturity of CTI's partnership with the Threat Hunting team.
1 — No structured relationship; CTI does not feed hunt ideas; hunt findings do not flow back
2 — Informal, ad-hoc interaction (&lt;1 structured handoff per month); occasional IOC or actor-name email
3 — Recurring CTI-to-Hunt cadence (&gt;=monthly); CTI submits hunt hypothesis abstracts scoped against PIRs and ATT&amp;CK; hunts target Pyramid-of-Pain TTPs and tools
4 — Hunt findings flow back and update threat profile, PIRs, and CMF; CTI provides enriched intel packages (actor, Diamond Model, ATT&amp;CK Navigator layers) to scope hunts
5 — CTI-Hunt partnership measured (% hunts sourced by CTI, % producing downstream artifact, yield YoY); retrospectives on cadence</t>
        </is>
      </c>
      <c r="E34" s="19" t="n"/>
      <c r="F34" s="24">
        <f>IF(E34="","",E34)</f>
        <v/>
      </c>
    </row>
    <row r="35" ht="35" customHeight="1">
      <c r="B35" s="16" t="inlineStr">
        <is>
          <t>T2-Q5</t>
        </is>
      </c>
      <c r="C35" s="26" t="inlineStr">
        <is>
          <t>Collaboration with the Threat Hunting Team</t>
        </is>
      </c>
      <c r="D35" s="18" t="inlineStr">
        <is>
          <t>Does a recurring (at least monthly) working cadence exist between CTI and the Threat Hunting team?</t>
        </is>
      </c>
      <c r="E35" s="19" t="n"/>
      <c r="F35" s="20">
        <f>IF(E35="Yes",3,IF(E35="No",1,""))</f>
        <v/>
      </c>
    </row>
    <row r="36" ht="115" customHeight="1">
      <c r="B36" s="21" t="inlineStr">
        <is>
          <t>T2-Q6</t>
        </is>
      </c>
      <c r="C36" s="25" t="inlineStr">
        <is>
          <t>Incident Response Enrichment</t>
        </is>
      </c>
      <c r="D36" s="23" t="inlineStr">
        <is>
          <t>Rate the maturity of CTI enrichment for Incident Response.
1 — CTI involved in &lt;30% of major incidents; IR analysts self-serve for context
2 — Ad-hoc enrichment when asked; not tracked; no SLA
3 — &gt;=90% of high-severity incidents enriched (actor, TTPs, campaign, prior observations); named CTI on-call liaison
4 — Automated enrichment via TIP/SOAR on ticket creation; ATT&amp;CK mapping on &gt;=80% of IR cases; Diamond Model applied
5 — Post-incident CTI output drives PIRs, detection backlog, and threat profile; MTTD/MTTR attribution measured where possible</t>
        </is>
      </c>
      <c r="E36" s="19" t="n"/>
      <c r="F36" s="24">
        <f>IF(E36="","",E36)</f>
        <v/>
      </c>
    </row>
    <row r="37" ht="34" customHeight="1">
      <c r="B37" s="15" t="inlineStr">
        <is>
          <t xml:space="preserve">  TIER 3: ADVANCED</t>
        </is>
      </c>
      <c r="C37" s="4" t="n"/>
      <c r="D37" s="4" t="n"/>
      <c r="E37" s="4" t="n"/>
      <c r="F37" s="4" t="n"/>
    </row>
    <row r="38" ht="20" customHeight="1">
      <c r="B38" s="13" t="inlineStr">
        <is>
          <t>CTI produces specialized intelligence for telco-context stakeholders (Vulnerability Management, Fraud, Third-Party Risk) and delivers a recurring Cyber Threat Landscape product at strategic/operational/tactical tiers.</t>
        </is>
      </c>
      <c r="C38" s="6" t="n"/>
      <c r="D38" s="6" t="n"/>
      <c r="E38" s="6" t="n"/>
      <c r="F38" s="6" t="n"/>
    </row>
    <row r="39" ht="115" customHeight="1">
      <c r="B39" s="16" t="inlineStr">
        <is>
          <t>T3-Q1</t>
        </is>
      </c>
      <c r="C39" s="17" t="inlineStr">
        <is>
          <t>Vulnerability and Exploit Intelligence</t>
        </is>
      </c>
      <c r="D39" s="18" t="inlineStr">
        <is>
          <t>Rate the maturity of CTI support to Vulnerability Management for telco stack.
1 — No CTI input to VM prioritization; VM prioritizes on CVSS alone
2 — Reactive alerts on viral CVEs only; no cadence; no telco-stack tagging
3 — Recurring VM brief (bi-weekly or monthly); CVEs tagged for relevance to telco tech stack (RAN, core, transport, OSS/BSS, hyperscaler, CPE)
4 — EPSS, exploit-in-the-wild observation, and underground chatter integrated; telco protocol vulns (SS7, Diameter, GTP, 5G) tracked; CTI modifiers feed VM prioritization
5 — CTI-driven score is the primary VM signal for externally-facing assets; predictive advisories issued where responsible; post-patch verification tracked</t>
        </is>
      </c>
      <c r="E39" s="19" t="n"/>
      <c r="F39" s="20">
        <f>IF(E39="","",E39)</f>
        <v/>
      </c>
    </row>
    <row r="40" ht="115" customHeight="1">
      <c r="B40" s="21" t="inlineStr">
        <is>
          <t>T3-Q2</t>
        </is>
      </c>
      <c r="C40" s="25" t="inlineStr">
        <is>
          <t>Telco Fraud Intelligence</t>
        </is>
      </c>
      <c r="D40" s="23" t="inlineStr">
        <is>
          <t>Rate the maturity of CTI support to the Fraud team (smishing, SIM swap, ATO, brand).
1 — No Fraud engagement
2 — Occasional sharing of smishing samples or actor names; no cadence; no partnership
3 — Recurring Fraud cadence covering smishing kits, SIM swap, ATO tooling, number-porting abuse, and brand impersonation; RFI intake defined
4 — Automated brand-impersonation monitoring (domain squatting, malvertising, lookalike apps); smishing kit repository; indicators flow to SOC and Fraud detection
5 — Cross-carrier intelligence sharing on fraud actors; takedown cadence in place; fraud prevention dollar impact attributed where possible</t>
        </is>
      </c>
      <c r="E40" s="19" t="n"/>
      <c r="F40" s="24">
        <f>IF(E40="","",E40)</f>
        <v/>
      </c>
    </row>
    <row r="41" ht="35" customHeight="1">
      <c r="B41" s="16" t="inlineStr">
        <is>
          <t>T3-Q3</t>
        </is>
      </c>
      <c r="C41" s="26" t="inlineStr">
        <is>
          <t>Telco Fraud Intelligence</t>
        </is>
      </c>
      <c r="D41" s="18" t="inlineStr">
        <is>
          <t>Is there a recurring cadence between CTI and the Fraud team?</t>
        </is>
      </c>
      <c r="E41" s="19" t="n"/>
      <c r="F41" s="20">
        <f>IF(E41="Yes",3,IF(E41="No",1,""))</f>
        <v/>
      </c>
    </row>
    <row r="42" ht="115" customHeight="1">
      <c r="B42" s="21" t="inlineStr">
        <is>
          <t>T3-Q4</t>
        </is>
      </c>
      <c r="C42" s="25" t="inlineStr">
        <is>
          <t>Third-Party and Supply-Chain Intelligence</t>
        </is>
      </c>
      <c r="D42" s="23" t="inlineStr">
        <is>
          <t>Rate the maturity of CTI support to Third-Party Risk Management.
1 — No third-party monitoring
2 — Reactive on major vendor breaches only; no monitored vendor list
3 — Top 20-50 third parties monitored (equipment vendors, roaming partners, CPE suppliers, cloud/SaaS, interconnect carriers); recurring TPRM brief; breach intake path documented
4 — TPRM-platform integration (or structured handoff) with automated vendor-breach alerting; supply-chain IOC tracking; geopolitical shifts surfaced
5 — CTI contributes to M&amp;A / procurement due diligence; roaming and interconnect partner risks inform network segmentation decisions</t>
        </is>
      </c>
      <c r="E42" s="19" t="n"/>
      <c r="F42" s="24">
        <f>IF(E42="","",E42)</f>
        <v/>
      </c>
    </row>
    <row r="43" ht="115" customHeight="1">
      <c r="B43" s="16" t="inlineStr">
        <is>
          <t>T3-Q5</t>
        </is>
      </c>
      <c r="C43" s="17" t="inlineStr">
        <is>
          <t>Cyber Threat Landscape Reporting</t>
        </is>
      </c>
      <c r="D43" s="18" t="inlineStr">
        <is>
          <t>Rate the maturity of your recurring Cyber Threat Landscape (CTL) product.
1 — No recurring CTL product
2 — Irregular one-off reports; &lt;4 per year; no consistent structure or tiering
3 — CTL delivered at least quarterly on a published schedule; ENISA-style methodology; tactical / operational / strategic tiering distinguishable
4 — Tiered audiences defined (CISO, SOC, VM); stakeholder feedback solicited and logged; trend view across editions maintained
5 — Strategic CTL drives CISO/CIO decisions; operational CTL drives hunt and detection backlogs; annual retrospective on forecast hits and misses</t>
        </is>
      </c>
      <c r="E43" s="19" t="n"/>
      <c r="F43" s="20">
        <f>IF(E43="","",E43)</f>
        <v/>
      </c>
    </row>
    <row r="44" ht="34" customHeight="1">
      <c r="B44" s="15" t="inlineStr">
        <is>
          <t xml:space="preserve">  TIER 4: LEADING</t>
        </is>
      </c>
      <c r="C44" s="4" t="n"/>
      <c r="D44" s="4" t="n"/>
      <c r="E44" s="4" t="n"/>
      <c r="F44" s="4" t="n"/>
    </row>
    <row r="45" ht="20" customHeight="1">
      <c r="B45" s="13" t="inlineStr">
        <is>
          <t>Strategic intelligence reaches the CISO and board on cadence; Structured Analytic Techniques are standard practice; CTI-attributable outcomes are measured; forecast calibration is tracked.</t>
        </is>
      </c>
      <c r="C45" s="6" t="n"/>
      <c r="D45" s="6" t="n"/>
      <c r="E45" s="6" t="n"/>
      <c r="F45" s="6" t="n"/>
    </row>
    <row r="46" ht="115" customHeight="1">
      <c r="B46" s="16" t="inlineStr">
        <is>
          <t>T4-Q1</t>
        </is>
      </c>
      <c r="C46" s="17" t="inlineStr">
        <is>
          <t>Strategic Intelligence to Leadership</t>
        </is>
      </c>
      <c r="D46" s="18" t="inlineStr">
        <is>
          <t>Rate the maturity of strategic intelligence delivered to CISO and senior leadership.
1 — No strategic briefing cadence with CISO or senior leaders
2 — Occasional ad-hoc contribution to CISO decks; no standing product
3 — Quarterly strategic brief produced in non-technical language with clear enterprise implications
4 — Strategic brief informs risk register updates and security-investment decisions; Canadian regulatory context (CRTC, CCCS, Bill C-26) synthesized
5 — Standing input to annual enterprise strategy and board-level cyber-risk discussions; products survive external / regulator scrutiny</t>
        </is>
      </c>
      <c r="E46" s="19" t="n"/>
      <c r="F46" s="20">
        <f>IF(E46="","",E46)</f>
        <v/>
      </c>
    </row>
    <row r="47" ht="115" customHeight="1">
      <c r="B47" s="21" t="inlineStr">
        <is>
          <t>T4-Q2</t>
        </is>
      </c>
      <c r="C47" s="25" t="inlineStr">
        <is>
          <t>Structured Analytic Techniques (SATs)</t>
        </is>
      </c>
      <c r="D47" s="23" t="inlineStr">
        <is>
          <t>Rate your team's use of Structured Analytic Techniques (ACH, Key Assumptions Check, Pre-Mortem, etc.).
1 — Analysts unfamiliar with SATs; no SAT training or artifacts
2 — Awareness of SATs conceptually; &lt;10% of major products show SAT application
3 — &gt;=80% of major products (high-impact assessments, attribution claims, strategic forecasts) show explicit SAT application
4 — Team repertoire of &gt;=4 SATs; SAT selection guided by the analytic question; peer review checks SAT appropriateness
5 — SATs are a trained competency; bias countermeasures are part of the culture; annual SAT refresher; retrospectives on SAT-driven decisions</t>
        </is>
      </c>
      <c r="E47" s="19" t="n"/>
      <c r="F47" s="24">
        <f>IF(E47="","",E47)</f>
        <v/>
      </c>
    </row>
    <row r="48" ht="115" customHeight="1">
      <c r="B48" s="16" t="inlineStr">
        <is>
          <t>T4-Q3</t>
        </is>
      </c>
      <c r="C48" s="17" t="inlineStr">
        <is>
          <t>Attributable Outcomes and Impact Metrics</t>
        </is>
      </c>
      <c r="D48" s="18" t="inlineStr">
        <is>
          <t>Rate your ability to attribute outcomes (detections, hunts, incidents, decisions) to CTI products.
1 — No outcome attribution
2 — Anecdotal success stories only; not systematically captured
3 — Outcome log maintained; &gt;=5 outcomes per quarter (detections, hunts, incidents, risk-register changes, procurement decisions)
4 — Outcome KPIs (% detections attributable to CTI, MTTR reduction, fraud $ prevented, vendor changes driven by CTI) in quarterly leadership pack
5 — Outcome data drives budget and headcount decisions; ROI metric published; investment-vs-outcome ratios tracked</t>
        </is>
      </c>
      <c r="E48" s="19" t="n"/>
      <c r="F48" s="20">
        <f>IF(E48="","",E48)</f>
        <v/>
      </c>
    </row>
    <row r="49" ht="35" customHeight="1">
      <c r="B49" s="21" t="inlineStr">
        <is>
          <t>T4-Q4</t>
        </is>
      </c>
      <c r="C49" s="22" t="inlineStr">
        <is>
          <t>Attributable Outcomes and Impact Metrics</t>
        </is>
      </c>
      <c r="D49" s="23" t="inlineStr">
        <is>
          <t>Does CTI report outcome metrics to leadership at least quarterly?</t>
        </is>
      </c>
      <c r="E49" s="19" t="n"/>
      <c r="F49" s="24">
        <f>IF(E49="Yes",4,IF(E49="No",1,""))</f>
        <v/>
      </c>
    </row>
    <row r="50" ht="115" customHeight="1">
      <c r="B50" s="16" t="inlineStr">
        <is>
          <t>T4-Q5</t>
        </is>
      </c>
      <c r="C50" s="17" t="inlineStr">
        <is>
          <t>Forecast Calibration</t>
        </is>
      </c>
      <c r="D50" s="18" t="inlineStr">
        <is>
          <t>Rate the maturity of forecast calibration tracking for your analytic products.
1 — Forecasts are not tracked; no retrospective check on accuracy
2 — Occasional retrospective on major assessments only
3 — All forecasts with confidence statements logged with resolution criteria; quarterly review of resolved forecasts
4 — Calibration score (Brier or equivalent) computed; errors drive retraining or process changes
5 — Calibration reported alongside output metrics; year-over-year improvement target committed and tracked</t>
        </is>
      </c>
      <c r="E50" s="19" t="n"/>
      <c r="F50" s="20">
        <f>IF(E50="","",E50)</f>
        <v/>
      </c>
    </row>
    <row r="51" ht="20" customHeight="1">
      <c r="A51" s="27" t="n"/>
      <c r="B51" s="27" t="n"/>
      <c r="C51" s="27" t="n"/>
      <c r="D51" s="27" t="n"/>
      <c r="E51" s="27" t="n"/>
      <c r="F51" s="27" t="n"/>
      <c r="G51" s="27" t="n"/>
    </row>
    <row r="52" ht="32" customHeight="1">
      <c r="B52" s="28" t="inlineStr">
        <is>
          <t>ENRICHMENT DIMENSIONS — Tradecraft and Governance</t>
        </is>
      </c>
      <c r="C52" s="29" t="n"/>
      <c r="D52" s="29" t="n"/>
      <c r="E52" s="29" t="n"/>
      <c r="F52" s="29" t="n"/>
    </row>
    <row r="53" ht="22" customHeight="1">
      <c r="B53" s="30" t="inlineStr">
        <is>
          <t>Cross-cutting tradecraft and governance factors. They contribute to the overall score but do not affect TIBMM tier determination.</t>
        </is>
      </c>
      <c r="C53" s="29" t="n"/>
      <c r="D53" s="29" t="n"/>
      <c r="E53" s="29" t="n"/>
      <c r="F53" s="29" t="n"/>
    </row>
    <row r="54" ht="26" customHeight="1">
      <c r="B54" s="31" t="inlineStr">
        <is>
          <t>ID</t>
        </is>
      </c>
      <c r="C54" s="31" t="inlineStr">
        <is>
          <t>Criterion</t>
        </is>
      </c>
      <c r="D54" s="31" t="inlineStr">
        <is>
          <t>Question</t>
        </is>
      </c>
      <c r="E54" s="31" t="inlineStr">
        <is>
          <t>Answer</t>
        </is>
      </c>
      <c r="F54" s="31" t="inlineStr">
        <is>
          <t>Score</t>
        </is>
      </c>
    </row>
    <row r="55" ht="34" customHeight="1">
      <c r="B55" s="32" t="inlineStr">
        <is>
          <t xml:space="preserve">  TRADECRAFT AND ANALYST CAPABILITY</t>
        </is>
      </c>
      <c r="C55" s="33" t="n"/>
      <c r="D55" s="33" t="n"/>
      <c r="E55" s="33" t="n"/>
      <c r="F55" s="33" t="n"/>
    </row>
    <row r="56" ht="20" customHeight="1">
      <c r="B56" s="30" t="inlineStr">
        <is>
          <t>Cross-cutting analytic quality factors.</t>
        </is>
      </c>
      <c r="C56" s="29" t="n"/>
      <c r="D56" s="29" t="n"/>
      <c r="E56" s="29" t="n"/>
      <c r="F56" s="29" t="n"/>
    </row>
    <row r="57" ht="115" customHeight="1">
      <c r="B57" s="16" t="inlineStr">
        <is>
          <t>E1-Q1</t>
        </is>
      </c>
      <c r="C57" s="17" t="inlineStr">
        <is>
          <t>ICD 203 Analytic Standards Adherence</t>
        </is>
      </c>
      <c r="D57" s="18" t="inlineStr">
        <is>
          <t>Rate your team's adherence to ICD 203 analytic tradecraft standards.
1 — Team unfamiliar with ICD 203 / SANS playbook-equivalent standards
2 — Lead aware; no analyst-level training; no consistent application
3 — All analysts trained on ICD 203 (or SANS-equivalent); products spot-checked for adherence
4 — Peer review checklist uses ICD 203 standards 1-7 as pass gates
5 — All nine ICD 203 standards measured or reviewed; standard 8 tracked via forecast calibration</t>
        </is>
      </c>
      <c r="E57" s="19" t="n"/>
      <c r="F57" s="20">
        <f>IF(E57="","",E57)</f>
        <v/>
      </c>
    </row>
    <row r="58" ht="115" customHeight="1">
      <c r="B58" s="34" t="inlineStr">
        <is>
          <t>E1-Q2</t>
        </is>
      </c>
      <c r="C58" s="35" t="inlineStr">
        <is>
          <t>Framework Literacy (ATT&amp;CK, Diamond, Kill Chain)</t>
        </is>
      </c>
      <c r="D58" s="36" t="inlineStr">
        <is>
          <t>Rate team fluency with MITRE ATT&amp;CK, the Diamond Model, and the Cyber Kill Chain.
1 — &lt;50% of analysts confidently use ATT&amp;CK, Diamond, or Kill Chain in analysis
2 — ATT&amp;CK referenced occasionally; Diamond and Kill Chain rarely used
3 — &gt;=90% of behavioral products use ATT&amp;CK tactic/technique IDs; Diamond/Kill Chain used where appropriate
4 — ATT&amp;CK Navigator layers published for major campaigns/actors; Diamond diagrams in incident and campaign reports
5 — Live ATT&amp;CK coverage heatmap linked to PIRs; framework outputs feed detection coverage mapping and hunt prioritization</t>
        </is>
      </c>
      <c r="E58" s="19" t="n"/>
      <c r="F58" s="37">
        <f>IF(E58="","",E58)</f>
        <v/>
      </c>
    </row>
    <row r="59" ht="115" customHeight="1">
      <c r="B59" s="16" t="inlineStr">
        <is>
          <t>E1-Q3</t>
        </is>
      </c>
      <c r="C59" s="17" t="inlineStr">
        <is>
          <t>Peer Review Process</t>
        </is>
      </c>
      <c r="D59" s="18" t="inlineStr">
        <is>
          <t>Rate the maturity of your peer review process for finished products.
1 — No peer review; analysts self-publish
2 — Informal peer review; &lt;50% of products reviewed
3 — &gt;=90% of finished products peer-reviewed; named reviewer; written review criteria
4 — Peer review uses a checklist tied to ICD 203, template, calibrated language, and source rating; review SLA tracked
5 — Peer review findings drive training and template improvements; cross-team review (with DE or peer CTI teams) on cadence</t>
        </is>
      </c>
      <c r="E59" s="19" t="n"/>
      <c r="F59" s="20">
        <f>IF(E59="","",E59)</f>
        <v/>
      </c>
    </row>
    <row r="60" ht="35" customHeight="1">
      <c r="B60" s="34" t="inlineStr">
        <is>
          <t>E1-Q4</t>
        </is>
      </c>
      <c r="C60" s="38" t="inlineStr">
        <is>
          <t>Peer Review Process</t>
        </is>
      </c>
      <c r="D60" s="36" t="inlineStr">
        <is>
          <t>Are all finished intelligence products peer-reviewed before release?</t>
        </is>
      </c>
      <c r="E60" s="19" t="n"/>
      <c r="F60" s="37">
        <f>IF(E60="Yes",3,IF(E60="No",1,""))</f>
        <v/>
      </c>
    </row>
    <row r="61" ht="34" customHeight="1">
      <c r="B61" s="32" t="inlineStr">
        <is>
          <t xml:space="preserve">  GOVERNANCE, LEGAL, ETHICS, AND IMPROVEMENT</t>
        </is>
      </c>
      <c r="C61" s="33" t="n"/>
      <c r="D61" s="33" t="n"/>
      <c r="E61" s="33" t="n"/>
      <c r="F61" s="33" t="n"/>
    </row>
    <row r="62" ht="20" customHeight="1">
      <c r="B62" s="30" t="inlineStr">
        <is>
          <t>Program hygiene that keeps the function defensible to regulators, partners, and internal audit — and ensures it improves over time rather than drifting.</t>
        </is>
      </c>
      <c r="C62" s="29" t="n"/>
      <c r="D62" s="29" t="n"/>
      <c r="E62" s="29" t="n"/>
      <c r="F62" s="29" t="n"/>
    </row>
    <row r="63" ht="115" customHeight="1">
      <c r="B63" s="16" t="inlineStr">
        <is>
          <t>E2-Q1</t>
        </is>
      </c>
      <c r="C63" s="17" t="inlineStr">
        <is>
          <t>Legal and Regulatory Review (PIPEDA, CASL, CRTC)</t>
        </is>
      </c>
      <c r="D63" s="18" t="inlineStr">
        <is>
          <t>Rate the maturity of legal / regulatory review over CTI sources and techniques (PIPEDA, CASL, CRTC, Bill C-26 CCSPA).
1 — No review of sources or techniques against Canadian legal/regulatory constraints
2 — Awareness-level only; analyst self-check; no formal process
3 — Sources screened against PIPEDA for personal-information collection; active-collection techniques have documented legal sign-off
4 — Annual review with privacy/legal partners; written and approved passive-vs-active collection posture
5 — Regulatory alignment tracked (CRTC expectations, Bill C-26 CCSPA obligations); CTI participates in breach-notification and regulatory-reporting workflows</t>
        </is>
      </c>
      <c r="E63" s="19" t="n"/>
      <c r="F63" s="20">
        <f>IF(E63="","",E63)</f>
        <v/>
      </c>
    </row>
    <row r="64" ht="115" customHeight="1">
      <c r="B64" s="34" t="inlineStr">
        <is>
          <t>E2-Q2</t>
        </is>
      </c>
      <c r="C64" s="35" t="inlineStr">
        <is>
          <t>External Sharing and Trust-Group Participation</t>
        </is>
      </c>
      <c r="D64" s="36" t="inlineStr">
        <is>
          <t>Rate your team's participation in external sharing communities (CCTX, trust groups, CCCS partnership).
1 — No memberships
2 — Passive membership in 1-2 groups; no shares in the last 12 months
3 — Active membership in CCTX and/or relevant trust groups; shares per quarter; TLP and sharing constraints understood
4 — Material bi-directional sharing (&gt;=1 share per month); partner-attributable value captured
5 — Recognized sector contributor; leadership role held (working-group chair, framework author, or similar)</t>
        </is>
      </c>
      <c r="E64" s="19" t="n"/>
      <c r="F64" s="37">
        <f>IF(E64="","",E64)</f>
        <v/>
      </c>
    </row>
    <row r="65" ht="115" customHeight="1">
      <c r="B65" s="16" t="inlineStr">
        <is>
          <t>E2-Q3</t>
        </is>
      </c>
      <c r="C65" s="17" t="inlineStr">
        <is>
          <t>Continuous Improvement and Self-Assessment</t>
        </is>
      </c>
      <c r="D65" s="18" t="inlineStr">
        <is>
          <t>Rate the maturity of your CTI self-assessment and continuous improvement cadence.
1 — No self-assessment in the last 24 months
2 — One-off maturity assessment; not repeated
3 — TIBMM (or equivalent) run annually; gap list maintained
4 — Bi-annual full TIBMM plus quarterly KPI check-ins; gaps tied to a roadmap with owners and target dates
5 — TIBMM scores reported to leadership alongside operational KPIs; year-over-year trend visible; improvement targets committed</t>
        </is>
      </c>
      <c r="E65" s="19" t="n"/>
      <c r="F65" s="20">
        <f>IF(E65="","",E65)</f>
        <v/>
      </c>
    </row>
  </sheetData>
  <mergeCells count="25">
    <mergeCell ref="B62:F62"/>
    <mergeCell ref="B22:F22"/>
    <mergeCell ref="B56:F56"/>
    <mergeCell ref="B52:F52"/>
    <mergeCell ref="B21:F21"/>
    <mergeCell ref="D6:E6"/>
    <mergeCell ref="B11:F11"/>
    <mergeCell ref="B61:F61"/>
    <mergeCell ref="B14:F14"/>
    <mergeCell ref="B13:F13"/>
    <mergeCell ref="B44:F44"/>
    <mergeCell ref="B53:F53"/>
    <mergeCell ref="B29:F29"/>
    <mergeCell ref="A1:G1"/>
    <mergeCell ref="D7:E7"/>
    <mergeCell ref="B38:F38"/>
    <mergeCell ref="B10:F10"/>
    <mergeCell ref="B37:F37"/>
    <mergeCell ref="D4:E4"/>
    <mergeCell ref="D8:E8"/>
    <mergeCell ref="B30:F30"/>
    <mergeCell ref="B55:F55"/>
    <mergeCell ref="D5:E5"/>
    <mergeCell ref="A2:G2"/>
    <mergeCell ref="B45:F45"/>
  </mergeCells>
  <conditionalFormatting sqref="F13:F65">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dataValidations count="3">
    <dataValidation sqref="D8" showDropDown="0" showInputMessage="0" showErrorMessage="0" allowBlank="0" errorTitle="Invalid Entry" error="Please select Self-Assessment or Audit" type="list">
      <formula1>"Self-Assessment,Audit"</formula1>
    </dataValidation>
    <dataValidation sqref="E16 E18 E24 E27 E32 E35 E41 E49 E60" showDropDown="0" showInputMessage="0" showErrorMessage="0" allowBlank="1" errorTitle="Invalid Entry" error="Please select Yes or No" promptTitle="Answer" prompt="Select Yes or No" type="list">
      <formula1>"Yes,No"</formula1>
    </dataValidation>
    <dataValidation sqref="E15 E17 E19 E20 E23 E25 E26 E28 E31 E33 E34 E36 E39 E40 E42 E43 E46 E47 E48 E50 E57 E58 E59 E63 E64 E65" showDropDown="0" showInputMessage="0" showErrorMessage="0" allowBlank="1" errorTitle="Invalid Entry" error="Please select a value from 1 to 5" promptTitle="Maturity Rating" prompt="Select 1 (Initial) through 5 (Optimized)" type="list">
      <formula1>"1,2,3,4,5"</formula1>
    </dataValidation>
  </dataValidation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3" customWidth="1" min="1" max="1"/>
    <col width="6" customWidth="1" min="2" max="2"/>
    <col width="34" customWidth="1" min="3" max="3"/>
    <col width="14" customWidth="1" min="4" max="4"/>
    <col width="14" customWidth="1" min="5" max="5"/>
    <col width="14" customWidth="1" min="6" max="6"/>
    <col width="3" customWidth="1" min="7" max="7"/>
  </cols>
  <sheetData>
    <row r="1" ht="56" customHeight="1">
      <c r="A1" s="1" t="inlineStr">
        <is>
          <t xml:space="preserve">  TIBMM Assessment Results</t>
        </is>
      </c>
      <c r="B1" s="2" t="n"/>
      <c r="C1" s="2" t="n"/>
      <c r="D1" s="2" t="n"/>
      <c r="E1" s="2" t="n"/>
      <c r="F1" s="2" t="n"/>
      <c r="G1" s="2" t="n"/>
    </row>
    <row r="2" ht="24" customHeight="1">
      <c r="A2" s="3">
        <f>"  "&amp;Assessment!D4</f>
        <v/>
      </c>
      <c r="B2" s="4" t="n"/>
      <c r="C2" s="4" t="n"/>
      <c r="D2" s="4" t="n"/>
      <c r="E2" s="4" t="n"/>
      <c r="F2" s="4" t="n"/>
      <c r="G2" s="4" t="n"/>
    </row>
    <row r="5" ht="22" customHeight="1">
      <c r="B5" s="39" t="inlineStr">
        <is>
          <t>Overall Maturity Score</t>
        </is>
      </c>
      <c r="C5" s="40" t="n"/>
      <c r="D5" s="39" t="inlineStr">
        <is>
          <t>Achieved TIBMM Tier</t>
        </is>
      </c>
      <c r="E5" s="40" t="n"/>
      <c r="F5" s="39" t="inlineStr">
        <is>
          <t>Completion</t>
        </is>
      </c>
    </row>
    <row r="6" ht="60" customHeight="1">
      <c r="B6" s="41">
        <f>IF(COUNT(D13,D14,D15,D16,D18,D19,D20,D21,D23,D24,D25,D26,D28,D29,D30,D31,D33,D34,D35,D36,D42,D43,D44,D46,D47,D48)=0,"",ROUND(AVERAGE(D13,D14,D15,D16,D18,D19,D20,D21,D23,D24,D25,D26,D28,D29,D30,D31,D33,D34,D35,D36,D42,D43,D44,D46,D47,D48),2)&amp;" / 5.0")</f>
        <v/>
      </c>
      <c r="C6" s="42" t="n"/>
      <c r="D6" s="43">
        <f>IF(AND(AND(ISNUMBER(D13),D13&gt;=3,ISNUMBER(D14),D14&gt;=3,ISNUMBER(D15),D15&gt;=3,ISNUMBER(D16),D16&gt;=3),AND(ISNUMBER(D18),D18&gt;=3,ISNUMBER(D19),D19&gt;=3,ISNUMBER(D20),D20&gt;=3,ISNUMBER(D21),D21&gt;=3),AND(ISNUMBER(D23),D23&gt;=3,ISNUMBER(D24),D24&gt;=3,ISNUMBER(D25),D25&gt;=3,ISNUMBER(D26),D26&gt;=3),AND(ISNUMBER(D28),D28&gt;=3,ISNUMBER(D29),D29&gt;=3,ISNUMBER(D30),D30&gt;=3,ISNUMBER(D31),D31&gt;=3),AND(ISNUMBER(D33),D33&gt;=3,ISNUMBER(D34),D34&gt;=3,ISNUMBER(D35),D35&gt;=3,ISNUMBER(D36),D36&gt;=3)),"Tier 4: Leading",IF(AND(AND(ISNUMBER(D13),D13&gt;=3,ISNUMBER(D14),D14&gt;=3,ISNUMBER(D15),D15&gt;=3,ISNUMBER(D16),D16&gt;=3),AND(ISNUMBER(D18),D18&gt;=3,ISNUMBER(D19),D19&gt;=3,ISNUMBER(D20),D20&gt;=3,ISNUMBER(D21),D21&gt;=3),AND(ISNUMBER(D23),D23&gt;=3,ISNUMBER(D24),D24&gt;=3,ISNUMBER(D25),D25&gt;=3,ISNUMBER(D26),D26&gt;=3),AND(ISNUMBER(D28),D28&gt;=3,ISNUMBER(D29),D29&gt;=3,ISNUMBER(D30),D30&gt;=3,ISNUMBER(D31),D31&gt;=3)),"Tier 3: Advanced",IF(AND(AND(ISNUMBER(D13),D13&gt;=3,ISNUMBER(D14),D14&gt;=3,ISNUMBER(D15),D15&gt;=3,ISNUMBER(D16),D16&gt;=3),AND(ISNUMBER(D18),D18&gt;=3,ISNUMBER(D19),D19&gt;=3,ISNUMBER(D20),D20&gt;=3,ISNUMBER(D21),D21&gt;=3),AND(ISNUMBER(D23),D23&gt;=3,ISNUMBER(D24),D24&gt;=3,ISNUMBER(D25),D25&gt;=3,ISNUMBER(D26),D26&gt;=3)),"Tier 2: Operational",IF(AND(AND(ISNUMBER(D13),D13&gt;=3,ISNUMBER(D14),D14&gt;=3,ISNUMBER(D15),D15&gt;=3,ISNUMBER(D16),D16&gt;=3),AND(ISNUMBER(D18),D18&gt;=3,ISNUMBER(D19),D19&gt;=3,ISNUMBER(D20),D20&gt;=3,ISNUMBER(D21),D21&gt;=3)),"Tier 1: Basic",IF(AND(AND(ISNUMBER(D13),D13&gt;=3,ISNUMBER(D14),D14&gt;=3,ISNUMBER(D15),D15&gt;=3,ISNUMBER(D16),D16&gt;=3)),"Tier 0: Foundation","Below Foundation")))))</f>
        <v/>
      </c>
      <c r="E6" s="42" t="n"/>
      <c r="F6" s="43">
        <f>COUNTA(Assessment!E15,Assessment!E16,Assessment!E17,Assessment!E18,Assessment!E19,Assessment!E20,Assessment!E23,Assessment!E24,Assessment!E25,Assessment!E26,Assessment!E27,Assessment!E28,Assessment!E31,Assessment!E32,Assessment!E33,Assessment!E34,Assessment!E35,Assessment!E36,Assessment!E39,Assessment!E40,Assessment!E41,Assessment!E42,Assessment!E43,Assessment!E46,Assessment!E47,Assessment!E48,Assessment!E49,Assessment!E50,Assessment!E57,Assessment!E58,Assessment!E59,Assessment!E60,Assessment!E63,Assessment!E64,Assessment!E65)&amp;" / 35"</f>
        <v/>
      </c>
    </row>
    <row r="7" ht="8" customHeight="1"/>
    <row r="8" ht="62" customHeight="1">
      <c r="B8" s="44">
        <f>IF(D6="","",IF(D6="Tier 4: Leading","The CTI function has achieved Tier 4 (Leading) — the highest TIBMM tier. Strategic intelligence reaches the CISO and board, SATs are standard practice, attributable outcomes are reported to leadership, and forecast calibration is measured. Focus on sustaining this posture, contributing to the telco-sector intelligence community, and using outcome data at budget review.",IF(D6="Tier 3: Advanced","The CTI function has achieved Tier 3 (Advanced). Stakeholder-specific intelligence products (VM, Fraud, TPRM, CTL) are running on cadence and influencing downstream decisions. To advance to Tier 4, produce a standing strategic brief for the CISO, apply Structured Analytic Techniques to major products, track CTI-attributable outcomes quantitatively, and measure forecast calibration.",IF(D6="Tier 2: Operational","The CTI function has achieved Tier 2 (Operational). TIP + IOC pipeline, DE handoff, CTI-Hunt partnership, and IR enrichment are running on a cadence. To advance to Tier 3, stand up recurring products for Vulnerability Management (EPSS + telco-stack tagging), Fraud (smishing, SIM swap, brand), and Third-Party Risk, and publish a tiered Cyber Threat Landscape report.",IF(D6="Tier 1: Basic","The CTI function has achieved Tier 1 (Basic). PIRs and the tradecraft floor (BLUF, calibrated language, source rating, CMF) are in place. To advance to Tier 2, deploy a Threat Intelligence Platform with automated IOC flow to the SIEM, formalize the CTI→Detection-Engineering handoff, establish a working cadence with the Threat Hunting team, and enrich every major incident with CTI context.",IF(D6="Tier 0: Foundation","The CTI function has achieved Tier 0 (Foundation). The role is documented, IOCs are handled consistently, sources are inventoried, and stakeholders know how to engage. To reach Tier 1, publish Priority Intelligence Requirements, adopt a BLUF product template, require calibrated probability language and source reliability ratings, and build a Collection Management Framework.","The CTI function has not yet achieved Tier 0 (Foundation). One or more foundational criteria — charter/service catalog, IOC handling, source inventory, or stakeholder touchpoints — score below the Defined level (3.0). Focus on documenting what CTI delivers and to whom, and on establishing a minimally disciplined IOC process, before pursuing higher tiers."))))))</f>
        <v/>
      </c>
      <c r="C8" s="27" t="n"/>
      <c r="D8" s="27" t="n"/>
      <c r="E8" s="27" t="n"/>
      <c r="F8" s="27" t="n"/>
    </row>
    <row r="10" ht="30" customHeight="1">
      <c r="B10" s="15" t="inlineStr">
        <is>
          <t xml:space="preserve">  TIBMM CORE ASSESSMENT</t>
        </is>
      </c>
      <c r="C10" s="4" t="n"/>
      <c r="D10" s="4" t="n"/>
      <c r="E10" s="4" t="n"/>
      <c r="F10" s="4" t="n"/>
    </row>
    <row r="11" ht="24" customHeight="1">
      <c r="C11" s="14" t="inlineStr">
        <is>
          <t>Category / Criterion</t>
        </is>
      </c>
      <c r="D11" s="14" t="inlineStr">
        <is>
          <t>Score</t>
        </is>
      </c>
      <c r="E11" s="14" t="inlineStr">
        <is>
          <t>Level</t>
        </is>
      </c>
      <c r="F11" s="14" t="inlineStr">
        <is>
          <t>Status</t>
        </is>
      </c>
    </row>
    <row r="12" ht="28" customHeight="1">
      <c r="C12" s="45" t="inlineStr">
        <is>
          <t>Foundation</t>
        </is>
      </c>
      <c r="D12" s="46">
        <f>IF(COUNT(D13,D14,D15,D16)=0,"",AVERAGE(D13,D14,D15,D16))</f>
        <v/>
      </c>
      <c r="E12" s="47">
        <f>IF(D12="","",IF(D12&gt;=4.5,"Optimized",IF(D12&gt;=3.5,"Managed",IF(D12&gt;=2.5,"Defined",IF(D12&gt;=1.5,"Repeatable","Initial")))))</f>
        <v/>
      </c>
      <c r="F12" s="47">
        <f>IF(D12="","",IF(D12&gt;=3,"✓ Pass","✗ Below Target"))</f>
        <v/>
      </c>
    </row>
    <row r="13">
      <c r="C13" s="48" t="inlineStr">
        <is>
          <t xml:space="preserve">    Mission, Charter, and Service Catalog</t>
        </is>
      </c>
      <c r="D13" s="49">
        <f>IF(COUNT(Assessment!F15,Assessment!F16)=0,"",AVERAGE(Assessment!F15,Assessment!F16))</f>
        <v/>
      </c>
      <c r="E13" s="50">
        <f>IF(D13="","",IF(D13&gt;=4.5,"Optimized",IF(D13&gt;=3.5,"Managed",IF(D13&gt;=2.5,"Defined",IF(D13&gt;=1.5,"Repeatable","Initial")))))</f>
        <v/>
      </c>
      <c r="F13" s="50">
        <f>IF(D13="","",IF(D13&gt;=3,"✓ Pass","✗ Below Target"))</f>
        <v/>
      </c>
    </row>
    <row r="14">
      <c r="C14" s="48" t="inlineStr">
        <is>
          <t xml:space="preserve">    Indicator of Compromise Handling</t>
        </is>
      </c>
      <c r="D14" s="49">
        <f>IF(COUNT(Assessment!F17,Assessment!F18)=0,"",AVERAGE(Assessment!F17,Assessment!F18))</f>
        <v/>
      </c>
      <c r="E14" s="50">
        <f>IF(D14="","",IF(D14&gt;=4.5,"Optimized",IF(D14&gt;=3.5,"Managed",IF(D14&gt;=2.5,"Defined",IF(D14&gt;=1.5,"Repeatable","Initial")))))</f>
        <v/>
      </c>
      <c r="F14" s="50">
        <f>IF(D14="","",IF(D14&gt;=3,"✓ Pass","✗ Below Target"))</f>
        <v/>
      </c>
    </row>
    <row r="15">
      <c r="C15" s="48" t="inlineStr">
        <is>
          <t xml:space="preserve">    Intelligence Source Inventory</t>
        </is>
      </c>
      <c r="D15" s="49">
        <f>IF(COUNT(Assessment!F19)=0,"",AVERAGE(Assessment!F19))</f>
        <v/>
      </c>
      <c r="E15" s="50">
        <f>IF(D15="","",IF(D15&gt;=4.5,"Optimized",IF(D15&gt;=3.5,"Managed",IF(D15&gt;=2.5,"Defined",IF(D15&gt;=1.5,"Repeatable","Initial")))))</f>
        <v/>
      </c>
      <c r="F15" s="50">
        <f>IF(D15="","",IF(D15&gt;=3,"✓ Pass","✗ Below Target"))</f>
        <v/>
      </c>
    </row>
    <row r="16">
      <c r="C16" s="48" t="inlineStr">
        <is>
          <t xml:space="preserve">    Stakeholder Awareness and Access</t>
        </is>
      </c>
      <c r="D16" s="49">
        <f>IF(COUNT(Assessment!F20)=0,"",AVERAGE(Assessment!F20))</f>
        <v/>
      </c>
      <c r="E16" s="50">
        <f>IF(D16="","",IF(D16&gt;=4.5,"Optimized",IF(D16&gt;=3.5,"Managed",IF(D16&gt;=2.5,"Defined",IF(D16&gt;=1.5,"Repeatable","Initial")))))</f>
        <v/>
      </c>
      <c r="F16" s="50">
        <f>IF(D16="","",IF(D16&gt;=3,"✓ Pass","✗ Below Target"))</f>
        <v/>
      </c>
    </row>
    <row r="17" ht="28" customHeight="1">
      <c r="C17" s="45" t="inlineStr">
        <is>
          <t>Basic</t>
        </is>
      </c>
      <c r="D17" s="46">
        <f>IF(COUNT(D18,D19,D20,D21)=0,"",AVERAGE(D18,D19,D20,D21))</f>
        <v/>
      </c>
      <c r="E17" s="47">
        <f>IF(D17="","",IF(D17&gt;=4.5,"Optimized",IF(D17&gt;=3.5,"Managed",IF(D17&gt;=2.5,"Defined",IF(D17&gt;=1.5,"Repeatable","Initial")))))</f>
        <v/>
      </c>
      <c r="F17" s="47">
        <f>IF(D17="","",IF(D17&gt;=3,"✓ Pass","✗ Below Target"))</f>
        <v/>
      </c>
    </row>
    <row r="18">
      <c r="C18" s="48" t="inlineStr">
        <is>
          <t xml:space="preserve">    Priority Intelligence Requirements (PIRs)</t>
        </is>
      </c>
      <c r="D18" s="49">
        <f>IF(COUNT(Assessment!F23,Assessment!F24)=0,"",AVERAGE(Assessment!F23,Assessment!F24))</f>
        <v/>
      </c>
      <c r="E18" s="50">
        <f>IF(D18="","",IF(D18&gt;=4.5,"Optimized",IF(D18&gt;=3.5,"Managed",IF(D18&gt;=2.5,"Defined",IF(D18&gt;=1.5,"Repeatable","Initial")))))</f>
        <v/>
      </c>
      <c r="F18" s="50">
        <f>IF(D18="","",IF(D18&gt;=3,"✓ Pass","✗ Below Target"))</f>
        <v/>
      </c>
    </row>
    <row r="19">
      <c r="C19" s="48" t="inlineStr">
        <is>
          <t xml:space="preserve">    Product Template and BLUF Structure</t>
        </is>
      </c>
      <c r="D19" s="49">
        <f>IF(COUNT(Assessment!F25)=0,"",AVERAGE(Assessment!F25))</f>
        <v/>
      </c>
      <c r="E19" s="50">
        <f>IF(D19="","",IF(D19&gt;=4.5,"Optimized",IF(D19&gt;=3.5,"Managed",IF(D19&gt;=2.5,"Defined",IF(D19&gt;=1.5,"Repeatable","Initial")))))</f>
        <v/>
      </c>
      <c r="F19" s="50">
        <f>IF(D19="","",IF(D19&gt;=3,"✓ Pass","✗ Below Target"))</f>
        <v/>
      </c>
    </row>
    <row r="20">
      <c r="C20" s="48" t="inlineStr">
        <is>
          <t xml:space="preserve">    Calibrated Language and Source Reliability</t>
        </is>
      </c>
      <c r="D20" s="49">
        <f>IF(COUNT(Assessment!F26,Assessment!F27)=0,"",AVERAGE(Assessment!F26,Assessment!F27))</f>
        <v/>
      </c>
      <c r="E20" s="50">
        <f>IF(D20="","",IF(D20&gt;=4.5,"Optimized",IF(D20&gt;=3.5,"Managed",IF(D20&gt;=2.5,"Defined",IF(D20&gt;=1.5,"Repeatable","Initial")))))</f>
        <v/>
      </c>
      <c r="F20" s="50">
        <f>IF(D20="","",IF(D20&gt;=3,"✓ Pass","✗ Below Target"))</f>
        <v/>
      </c>
    </row>
    <row r="21">
      <c r="C21" s="48" t="inlineStr">
        <is>
          <t xml:space="preserve">    Collection Management Framework (CMF)</t>
        </is>
      </c>
      <c r="D21" s="49">
        <f>IF(COUNT(Assessment!F28)=0,"",AVERAGE(Assessment!F28))</f>
        <v/>
      </c>
      <c r="E21" s="50">
        <f>IF(D21="","",IF(D21&gt;=4.5,"Optimized",IF(D21&gt;=3.5,"Managed",IF(D21&gt;=2.5,"Defined",IF(D21&gt;=1.5,"Repeatable","Initial")))))</f>
        <v/>
      </c>
      <c r="F21" s="50">
        <f>IF(D21="","",IF(D21&gt;=3,"✓ Pass","✗ Below Target"))</f>
        <v/>
      </c>
    </row>
    <row r="22" ht="28" customHeight="1">
      <c r="C22" s="45" t="inlineStr">
        <is>
          <t>Operational</t>
        </is>
      </c>
      <c r="D22" s="46">
        <f>IF(COUNT(D23,D24,D25,D26)=0,"",AVERAGE(D23,D24,D25,D26))</f>
        <v/>
      </c>
      <c r="E22" s="47">
        <f>IF(D22="","",IF(D22&gt;=4.5,"Optimized",IF(D22&gt;=3.5,"Managed",IF(D22&gt;=2.5,"Defined",IF(D22&gt;=1.5,"Repeatable","Initial")))))</f>
        <v/>
      </c>
      <c r="F22" s="47">
        <f>IF(D22="","",IF(D22&gt;=3,"✓ Pass","✗ Below Target"))</f>
        <v/>
      </c>
    </row>
    <row r="23">
      <c r="C23" s="48" t="inlineStr">
        <is>
          <t xml:space="preserve">    Threat Intelligence Platform and IOC Pipeline</t>
        </is>
      </c>
      <c r="D23" s="49">
        <f>IF(COUNT(Assessment!F31,Assessment!F32)=0,"",AVERAGE(Assessment!F31,Assessment!F32))</f>
        <v/>
      </c>
      <c r="E23" s="50">
        <f>IF(D23="","",IF(D23&gt;=4.5,"Optimized",IF(D23&gt;=3.5,"Managed",IF(D23&gt;=2.5,"Defined",IF(D23&gt;=1.5,"Repeatable","Initial")))))</f>
        <v/>
      </c>
      <c r="F23" s="50">
        <f>IF(D23="","",IF(D23&gt;=3,"✓ Pass","✗ Below Target"))</f>
        <v/>
      </c>
    </row>
    <row r="24">
      <c r="C24" s="48" t="inlineStr">
        <is>
          <t xml:space="preserve">    Detection Engineering Handoff</t>
        </is>
      </c>
      <c r="D24" s="49">
        <f>IF(COUNT(Assessment!F33)=0,"",AVERAGE(Assessment!F33))</f>
        <v/>
      </c>
      <c r="E24" s="50">
        <f>IF(D24="","",IF(D24&gt;=4.5,"Optimized",IF(D24&gt;=3.5,"Managed",IF(D24&gt;=2.5,"Defined",IF(D24&gt;=1.5,"Repeatable","Initial")))))</f>
        <v/>
      </c>
      <c r="F24" s="50">
        <f>IF(D24="","",IF(D24&gt;=3,"✓ Pass","✗ Below Target"))</f>
        <v/>
      </c>
    </row>
    <row r="25">
      <c r="C25" s="48" t="inlineStr">
        <is>
          <t xml:space="preserve">    Collaboration with the Threat Hunting Team</t>
        </is>
      </c>
      <c r="D25" s="49">
        <f>IF(COUNT(Assessment!F34,Assessment!F35)=0,"",AVERAGE(Assessment!F34,Assessment!F35))</f>
        <v/>
      </c>
      <c r="E25" s="50">
        <f>IF(D25="","",IF(D25&gt;=4.5,"Optimized",IF(D25&gt;=3.5,"Managed",IF(D25&gt;=2.5,"Defined",IF(D25&gt;=1.5,"Repeatable","Initial")))))</f>
        <v/>
      </c>
      <c r="F25" s="50">
        <f>IF(D25="","",IF(D25&gt;=3,"✓ Pass","✗ Below Target"))</f>
        <v/>
      </c>
    </row>
    <row r="26">
      <c r="C26" s="48" t="inlineStr">
        <is>
          <t xml:space="preserve">    Incident Response Enrichment</t>
        </is>
      </c>
      <c r="D26" s="49">
        <f>IF(COUNT(Assessment!F36)=0,"",AVERAGE(Assessment!F36))</f>
        <v/>
      </c>
      <c r="E26" s="50">
        <f>IF(D26="","",IF(D26&gt;=4.5,"Optimized",IF(D26&gt;=3.5,"Managed",IF(D26&gt;=2.5,"Defined",IF(D26&gt;=1.5,"Repeatable","Initial")))))</f>
        <v/>
      </c>
      <c r="F26" s="50">
        <f>IF(D26="","",IF(D26&gt;=3,"✓ Pass","✗ Below Target"))</f>
        <v/>
      </c>
    </row>
    <row r="27" ht="28" customHeight="1">
      <c r="C27" s="45" t="inlineStr">
        <is>
          <t>Advanced</t>
        </is>
      </c>
      <c r="D27" s="46">
        <f>IF(COUNT(D28,D29,D30,D31)=0,"",AVERAGE(D28,D29,D30,D31))</f>
        <v/>
      </c>
      <c r="E27" s="47">
        <f>IF(D27="","",IF(D27&gt;=4.5,"Optimized",IF(D27&gt;=3.5,"Managed",IF(D27&gt;=2.5,"Defined",IF(D27&gt;=1.5,"Repeatable","Initial")))))</f>
        <v/>
      </c>
      <c r="F27" s="47">
        <f>IF(D27="","",IF(D27&gt;=3,"✓ Pass","✗ Below Target"))</f>
        <v/>
      </c>
    </row>
    <row r="28">
      <c r="C28" s="48" t="inlineStr">
        <is>
          <t xml:space="preserve">    Vulnerability and Exploit Intelligence</t>
        </is>
      </c>
      <c r="D28" s="49">
        <f>IF(COUNT(Assessment!F39)=0,"",AVERAGE(Assessment!F39))</f>
        <v/>
      </c>
      <c r="E28" s="50">
        <f>IF(D28="","",IF(D28&gt;=4.5,"Optimized",IF(D28&gt;=3.5,"Managed",IF(D28&gt;=2.5,"Defined",IF(D28&gt;=1.5,"Repeatable","Initial")))))</f>
        <v/>
      </c>
      <c r="F28" s="50">
        <f>IF(D28="","",IF(D28&gt;=3,"✓ Pass","✗ Below Target"))</f>
        <v/>
      </c>
    </row>
    <row r="29">
      <c r="C29" s="48" t="inlineStr">
        <is>
          <t xml:space="preserve">    Telco Fraud Intelligence</t>
        </is>
      </c>
      <c r="D29" s="49">
        <f>IF(COUNT(Assessment!F40,Assessment!F41)=0,"",AVERAGE(Assessment!F40,Assessment!F41))</f>
        <v/>
      </c>
      <c r="E29" s="50">
        <f>IF(D29="","",IF(D29&gt;=4.5,"Optimized",IF(D29&gt;=3.5,"Managed",IF(D29&gt;=2.5,"Defined",IF(D29&gt;=1.5,"Repeatable","Initial")))))</f>
        <v/>
      </c>
      <c r="F29" s="50">
        <f>IF(D29="","",IF(D29&gt;=3,"✓ Pass","✗ Below Target"))</f>
        <v/>
      </c>
    </row>
    <row r="30">
      <c r="C30" s="48" t="inlineStr">
        <is>
          <t xml:space="preserve">    Third-Party and Supply-Chain Intelligence</t>
        </is>
      </c>
      <c r="D30" s="49">
        <f>IF(COUNT(Assessment!F42)=0,"",AVERAGE(Assessment!F42))</f>
        <v/>
      </c>
      <c r="E30" s="50">
        <f>IF(D30="","",IF(D30&gt;=4.5,"Optimized",IF(D30&gt;=3.5,"Managed",IF(D30&gt;=2.5,"Defined",IF(D30&gt;=1.5,"Repeatable","Initial")))))</f>
        <v/>
      </c>
      <c r="F30" s="50">
        <f>IF(D30="","",IF(D30&gt;=3,"✓ Pass","✗ Below Target"))</f>
        <v/>
      </c>
    </row>
    <row r="31">
      <c r="C31" s="48" t="inlineStr">
        <is>
          <t xml:space="preserve">    Cyber Threat Landscape Reporting</t>
        </is>
      </c>
      <c r="D31" s="49">
        <f>IF(COUNT(Assessment!F43)=0,"",AVERAGE(Assessment!F43))</f>
        <v/>
      </c>
      <c r="E31" s="50">
        <f>IF(D31="","",IF(D31&gt;=4.5,"Optimized",IF(D31&gt;=3.5,"Managed",IF(D31&gt;=2.5,"Defined",IF(D31&gt;=1.5,"Repeatable","Initial")))))</f>
        <v/>
      </c>
      <c r="F31" s="50">
        <f>IF(D31="","",IF(D31&gt;=3,"✓ Pass","✗ Below Target"))</f>
        <v/>
      </c>
    </row>
    <row r="32" ht="28" customHeight="1">
      <c r="C32" s="45" t="inlineStr">
        <is>
          <t>Leading</t>
        </is>
      </c>
      <c r="D32" s="46">
        <f>IF(COUNT(D33,D34,D35,D36)=0,"",AVERAGE(D33,D34,D35,D36))</f>
        <v/>
      </c>
      <c r="E32" s="47">
        <f>IF(D32="","",IF(D32&gt;=4.5,"Optimized",IF(D32&gt;=3.5,"Managed",IF(D32&gt;=2.5,"Defined",IF(D32&gt;=1.5,"Repeatable","Initial")))))</f>
        <v/>
      </c>
      <c r="F32" s="47">
        <f>IF(D32="","",IF(D32&gt;=3,"✓ Pass","✗ Below Target"))</f>
        <v/>
      </c>
    </row>
    <row r="33">
      <c r="C33" s="48" t="inlineStr">
        <is>
          <t xml:space="preserve">    Strategic Intelligence to Leadership</t>
        </is>
      </c>
      <c r="D33" s="49">
        <f>IF(COUNT(Assessment!F46)=0,"",AVERAGE(Assessment!F46))</f>
        <v/>
      </c>
      <c r="E33" s="50">
        <f>IF(D33="","",IF(D33&gt;=4.5,"Optimized",IF(D33&gt;=3.5,"Managed",IF(D33&gt;=2.5,"Defined",IF(D33&gt;=1.5,"Repeatable","Initial")))))</f>
        <v/>
      </c>
      <c r="F33" s="50">
        <f>IF(D33="","",IF(D33&gt;=3,"✓ Pass","✗ Below Target"))</f>
        <v/>
      </c>
    </row>
    <row r="34">
      <c r="C34" s="48" t="inlineStr">
        <is>
          <t xml:space="preserve">    Structured Analytic Techniques (SATs)</t>
        </is>
      </c>
      <c r="D34" s="49">
        <f>IF(COUNT(Assessment!F47)=0,"",AVERAGE(Assessment!F47))</f>
        <v/>
      </c>
      <c r="E34" s="50">
        <f>IF(D34="","",IF(D34&gt;=4.5,"Optimized",IF(D34&gt;=3.5,"Managed",IF(D34&gt;=2.5,"Defined",IF(D34&gt;=1.5,"Repeatable","Initial")))))</f>
        <v/>
      </c>
      <c r="F34" s="50">
        <f>IF(D34="","",IF(D34&gt;=3,"✓ Pass","✗ Below Target"))</f>
        <v/>
      </c>
    </row>
    <row r="35">
      <c r="C35" s="48" t="inlineStr">
        <is>
          <t xml:space="preserve">    Attributable Outcomes and Impact Metrics</t>
        </is>
      </c>
      <c r="D35" s="49">
        <f>IF(COUNT(Assessment!F48,Assessment!F49)=0,"",AVERAGE(Assessment!F48,Assessment!F49))</f>
        <v/>
      </c>
      <c r="E35" s="50">
        <f>IF(D35="","",IF(D35&gt;=4.5,"Optimized",IF(D35&gt;=3.5,"Managed",IF(D35&gt;=2.5,"Defined",IF(D35&gt;=1.5,"Repeatable","Initial")))))</f>
        <v/>
      </c>
      <c r="F35" s="50">
        <f>IF(D35="","",IF(D35&gt;=3,"✓ Pass","✗ Below Target"))</f>
        <v/>
      </c>
    </row>
    <row r="36">
      <c r="C36" s="48" t="inlineStr">
        <is>
          <t xml:space="preserve">    Forecast Calibration</t>
        </is>
      </c>
      <c r="D36" s="49">
        <f>IF(COUNT(Assessment!F50)=0,"",AVERAGE(Assessment!F50))</f>
        <v/>
      </c>
      <c r="E36" s="50">
        <f>IF(D36="","",IF(D36&gt;=4.5,"Optimized",IF(D36&gt;=3.5,"Managed",IF(D36&gt;=2.5,"Defined",IF(D36&gt;=1.5,"Repeatable","Initial")))))</f>
        <v/>
      </c>
      <c r="F36" s="50">
        <f>IF(D36="","",IF(D36&gt;=3,"✓ Pass","✗ Below Target"))</f>
        <v/>
      </c>
    </row>
    <row r="37" ht="14" customHeight="1">
      <c r="A37" s="27" t="n"/>
      <c r="B37" s="27" t="n"/>
      <c r="C37" s="27" t="n"/>
      <c r="D37" s="27" t="n"/>
      <c r="E37" s="27" t="n"/>
      <c r="F37" s="27" t="n"/>
      <c r="G37" s="27" t="n"/>
    </row>
    <row r="38" ht="30" customHeight="1">
      <c r="B38" s="32" t="inlineStr">
        <is>
          <t xml:space="preserve">  ENRICHMENT DIMENSIONS</t>
        </is>
      </c>
      <c r="C38" s="33" t="n"/>
      <c r="D38" s="33" t="n"/>
      <c r="E38" s="33" t="n"/>
      <c r="F38" s="33" t="n"/>
    </row>
    <row r="39" ht="20" customHeight="1">
      <c r="B39" s="30" t="inlineStr">
        <is>
          <t>Tradecraft and governance factors — do not affect TIBMM tier determination</t>
        </is>
      </c>
      <c r="C39" s="29" t="n"/>
      <c r="D39" s="29" t="n"/>
      <c r="E39" s="29" t="n"/>
      <c r="F39" s="29" t="n"/>
    </row>
    <row r="40" ht="24" customHeight="1">
      <c r="C40" s="31" t="inlineStr">
        <is>
          <t>Category / Criterion</t>
        </is>
      </c>
      <c r="D40" s="31" t="inlineStr">
        <is>
          <t>Score</t>
        </is>
      </c>
      <c r="E40" s="31" t="inlineStr">
        <is>
          <t>Level</t>
        </is>
      </c>
      <c r="F40" s="31" t="inlineStr">
        <is>
          <t>Status</t>
        </is>
      </c>
    </row>
    <row r="41" ht="28" customHeight="1">
      <c r="C41" s="51" t="inlineStr">
        <is>
          <t>Tradecraft and Analyst Capability</t>
        </is>
      </c>
      <c r="D41" s="52">
        <f>IF(COUNT(D42,D43,D44)=0,"",AVERAGE(D42,D43,D44))</f>
        <v/>
      </c>
      <c r="E41" s="53">
        <f>IF(D41="","",IF(D41&gt;=4.5,"Optimized",IF(D41&gt;=3.5,"Managed",IF(D41&gt;=2.5,"Defined",IF(D41&gt;=1.5,"Repeatable","Initial")))))</f>
        <v/>
      </c>
      <c r="F41" s="53">
        <f>IF(D41="","",IF(D41&gt;=3,"✓ Pass","✗ Below Target"))</f>
        <v/>
      </c>
    </row>
    <row r="42">
      <c r="C42" s="48" t="inlineStr">
        <is>
          <t xml:space="preserve">    ICD 203 Analytic Standards Adherence</t>
        </is>
      </c>
      <c r="D42" s="49">
        <f>IF(COUNT(Assessment!F57)=0,"",AVERAGE(Assessment!F57))</f>
        <v/>
      </c>
      <c r="E42" s="50">
        <f>IF(D42="","",IF(D42&gt;=4.5,"Optimized",IF(D42&gt;=3.5,"Managed",IF(D42&gt;=2.5,"Defined",IF(D42&gt;=1.5,"Repeatable","Initial")))))</f>
        <v/>
      </c>
      <c r="F42" s="50">
        <f>IF(D42="","",IF(D42&gt;=3,"✓ Pass","✗ Below Target"))</f>
        <v/>
      </c>
    </row>
    <row r="43">
      <c r="C43" s="48" t="inlineStr">
        <is>
          <t xml:space="preserve">    Framework Literacy (ATT&amp;CK, Diamond, Kill Chain)</t>
        </is>
      </c>
      <c r="D43" s="49">
        <f>IF(COUNT(Assessment!F58)=0,"",AVERAGE(Assessment!F58))</f>
        <v/>
      </c>
      <c r="E43" s="50">
        <f>IF(D43="","",IF(D43&gt;=4.5,"Optimized",IF(D43&gt;=3.5,"Managed",IF(D43&gt;=2.5,"Defined",IF(D43&gt;=1.5,"Repeatable","Initial")))))</f>
        <v/>
      </c>
      <c r="F43" s="50">
        <f>IF(D43="","",IF(D43&gt;=3,"✓ Pass","✗ Below Target"))</f>
        <v/>
      </c>
    </row>
    <row r="44">
      <c r="C44" s="48" t="inlineStr">
        <is>
          <t xml:space="preserve">    Peer Review Process</t>
        </is>
      </c>
      <c r="D44" s="49">
        <f>IF(COUNT(Assessment!F59,Assessment!F60)=0,"",AVERAGE(Assessment!F59,Assessment!F60))</f>
        <v/>
      </c>
      <c r="E44" s="50">
        <f>IF(D44="","",IF(D44&gt;=4.5,"Optimized",IF(D44&gt;=3.5,"Managed",IF(D44&gt;=2.5,"Defined",IF(D44&gt;=1.5,"Repeatable","Initial")))))</f>
        <v/>
      </c>
      <c r="F44" s="50">
        <f>IF(D44="","",IF(D44&gt;=3,"✓ Pass","✗ Below Target"))</f>
        <v/>
      </c>
    </row>
    <row r="45" ht="28" customHeight="1">
      <c r="C45" s="51" t="inlineStr">
        <is>
          <t>Governance, Legal, Ethics, and Improvement</t>
        </is>
      </c>
      <c r="D45" s="52">
        <f>IF(COUNT(D46,D47,D48)=0,"",AVERAGE(D46,D47,D48))</f>
        <v/>
      </c>
      <c r="E45" s="53">
        <f>IF(D45="","",IF(D45&gt;=4.5,"Optimized",IF(D45&gt;=3.5,"Managed",IF(D45&gt;=2.5,"Defined",IF(D45&gt;=1.5,"Repeatable","Initial")))))</f>
        <v/>
      </c>
      <c r="F45" s="53">
        <f>IF(D45="","",IF(D45&gt;=3,"✓ Pass","✗ Below Target"))</f>
        <v/>
      </c>
    </row>
    <row r="46">
      <c r="C46" s="48" t="inlineStr">
        <is>
          <t xml:space="preserve">    Legal and Regulatory Review (PIPEDA, CASL, CRTC)</t>
        </is>
      </c>
      <c r="D46" s="49">
        <f>IF(COUNT(Assessment!F63)=0,"",AVERAGE(Assessment!F63))</f>
        <v/>
      </c>
      <c r="E46" s="50">
        <f>IF(D46="","",IF(D46&gt;=4.5,"Optimized",IF(D46&gt;=3.5,"Managed",IF(D46&gt;=2.5,"Defined",IF(D46&gt;=1.5,"Repeatable","Initial")))))</f>
        <v/>
      </c>
      <c r="F46" s="50">
        <f>IF(D46="","",IF(D46&gt;=3,"✓ Pass","✗ Below Target"))</f>
        <v/>
      </c>
    </row>
    <row r="47">
      <c r="C47" s="48" t="inlineStr">
        <is>
          <t xml:space="preserve">    External Sharing and Trust-Group Participation</t>
        </is>
      </c>
      <c r="D47" s="49">
        <f>IF(COUNT(Assessment!F64)=0,"",AVERAGE(Assessment!F64))</f>
        <v/>
      </c>
      <c r="E47" s="50">
        <f>IF(D47="","",IF(D47&gt;=4.5,"Optimized",IF(D47&gt;=3.5,"Managed",IF(D47&gt;=2.5,"Defined",IF(D47&gt;=1.5,"Repeatable","Initial")))))</f>
        <v/>
      </c>
      <c r="F47" s="50">
        <f>IF(D47="","",IF(D47&gt;=3,"✓ Pass","✗ Below Target"))</f>
        <v/>
      </c>
    </row>
    <row r="48">
      <c r="C48" s="48" t="inlineStr">
        <is>
          <t xml:space="preserve">    Continuous Improvement and Self-Assessment</t>
        </is>
      </c>
      <c r="D48" s="49">
        <f>IF(COUNT(Assessment!F65)=0,"",AVERAGE(Assessment!F65))</f>
        <v/>
      </c>
      <c r="E48" s="50">
        <f>IF(D48="","",IF(D48&gt;=4.5,"Optimized",IF(D48&gt;=3.5,"Managed",IF(D48&gt;=2.5,"Defined",IF(D48&gt;=1.5,"Repeatable","Initial")))))</f>
        <v/>
      </c>
      <c r="F48" s="50">
        <f>IF(D48="","",IF(D48&gt;=3,"✓ Pass","✗ Below Target"))</f>
        <v/>
      </c>
    </row>
  </sheetData>
  <mergeCells count="10">
    <mergeCell ref="D6:E6"/>
    <mergeCell ref="B6:C6"/>
    <mergeCell ref="B39:F39"/>
    <mergeCell ref="A1:G1"/>
    <mergeCell ref="B38:F38"/>
    <mergeCell ref="B5:C5"/>
    <mergeCell ref="B10:F10"/>
    <mergeCell ref="D5:E5"/>
    <mergeCell ref="A2:G2"/>
    <mergeCell ref="B8:F8"/>
  </mergeCells>
  <conditionalFormatting sqref="D12:D36">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F12:F36">
    <cfRule type="cellIs" priority="5" operator="equal" dxfId="3">
      <formula>"✓ Pass"</formula>
    </cfRule>
    <cfRule type="cellIs" priority="6" operator="equal" dxfId="0">
      <formula>"✗ Below Target"</formula>
    </cfRule>
  </conditionalFormatting>
  <conditionalFormatting sqref="D41:D48">
    <cfRule type="cellIs" priority="7" operator="between" dxfId="0">
      <formula>1</formula>
      <formula>1.49</formula>
    </cfRule>
    <cfRule type="cellIs" priority="8" operator="between" dxfId="1">
      <formula>1.5</formula>
      <formula>2.49</formula>
    </cfRule>
    <cfRule type="cellIs" priority="9" operator="between" dxfId="2">
      <formula>2.5</formula>
      <formula>3.49</formula>
    </cfRule>
    <cfRule type="cellIs" priority="10" operator="between" dxfId="3">
      <formula>3.5</formula>
      <formula>5</formula>
    </cfRule>
  </conditionalFormatting>
  <conditionalFormatting sqref="F41:F48">
    <cfRule type="cellIs" priority="11" operator="equal" dxfId="3">
      <formula>"✓ Pass"</formula>
    </cfRule>
    <cfRule type="cellIs" priority="12" operator="equal" dxfId="0">
      <formula>"✗ Below Target"</formula>
    </cfRule>
  </conditionalFormatting>
  <conditionalFormatting sqref="B6:C6">
    <cfRule type="cellIs" priority="13" operator="between" dxfId="0">
      <formula>1</formula>
      <formula>1.49</formula>
    </cfRule>
    <cfRule type="cellIs" priority="14" operator="between" dxfId="1">
      <formula>1.5</formula>
      <formula>2.49</formula>
    </cfRule>
    <cfRule type="cellIs" priority="15" operator="between" dxfId="2">
      <formula>2.5</formula>
      <formula>3.49</formula>
    </cfRule>
    <cfRule type="cellIs" priority="16" operator="between" dxfId="3">
      <formula>3.5</formula>
      <formula>5</formula>
    </cfRule>
  </conditionalFormatting>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 customWidth="1" min="1" max="1"/>
    <col width="22" customWidth="1" min="2" max="2"/>
    <col width="12" customWidth="1" min="3" max="3"/>
    <col width="3" customWidth="1" min="4" max="4"/>
  </cols>
  <sheetData>
    <row r="1" ht="48" customHeight="1">
      <c r="A1" s="1" t="inlineStr">
        <is>
          <t xml:space="preserve">  TIBMM Tier Scores</t>
        </is>
      </c>
      <c r="B1" s="2" t="n"/>
      <c r="C1" s="2" t="n"/>
      <c r="D1" s="2" t="n"/>
    </row>
    <row r="2" ht="22" customHeight="1">
      <c r="A2" s="3" t="inlineStr">
        <is>
          <t xml:space="preserve">  Average score per TIBMM core tier (target: 3.0)</t>
        </is>
      </c>
      <c r="B2" s="4" t="n"/>
      <c r="C2" s="4" t="n"/>
      <c r="D2" s="4" t="n"/>
    </row>
    <row r="4" ht="24" customHeight="1">
      <c r="B4" s="14" t="inlineStr">
        <is>
          <t>Tier</t>
        </is>
      </c>
      <c r="C4" s="14" t="inlineStr">
        <is>
          <t>Score</t>
        </is>
      </c>
    </row>
    <row r="5" ht="22" customHeight="1">
      <c r="B5" s="45" t="inlineStr">
        <is>
          <t>Foundation</t>
        </is>
      </c>
      <c r="C5" s="54">
        <f>'Results Dashboard'!D12</f>
        <v/>
      </c>
    </row>
    <row r="6" ht="22" customHeight="1">
      <c r="B6" s="45" t="inlineStr">
        <is>
          <t>Basic</t>
        </is>
      </c>
      <c r="C6" s="54">
        <f>'Results Dashboard'!D17</f>
        <v/>
      </c>
    </row>
    <row r="7" ht="22" customHeight="1">
      <c r="B7" s="45" t="inlineStr">
        <is>
          <t>Operational</t>
        </is>
      </c>
      <c r="C7" s="54">
        <f>'Results Dashboard'!D22</f>
        <v/>
      </c>
    </row>
    <row r="8" ht="22" customHeight="1">
      <c r="B8" s="45" t="inlineStr">
        <is>
          <t>Advanced</t>
        </is>
      </c>
      <c r="C8" s="54">
        <f>'Results Dashboard'!D27</f>
        <v/>
      </c>
    </row>
    <row r="9" ht="22" customHeight="1">
      <c r="B9" s="45" t="inlineStr">
        <is>
          <t>Leading</t>
        </is>
      </c>
      <c r="C9" s="54">
        <f>'Results Dashboard'!D32</f>
        <v/>
      </c>
    </row>
  </sheetData>
  <mergeCells count="2">
    <mergeCell ref="A1:D1"/>
    <mergeCell ref="A2:D2"/>
  </mergeCells>
  <conditionalFormatting sqref="C5">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C6">
    <cfRule type="cellIs" priority="5" operator="between" dxfId="0">
      <formula>1</formula>
      <formula>1.49</formula>
    </cfRule>
    <cfRule type="cellIs" priority="6" operator="between" dxfId="1">
      <formula>1.5</formula>
      <formula>2.49</formula>
    </cfRule>
    <cfRule type="cellIs" priority="7" operator="between" dxfId="2">
      <formula>2.5</formula>
      <formula>3.49</formula>
    </cfRule>
    <cfRule type="cellIs" priority="8" operator="between" dxfId="3">
      <formula>3.5</formula>
      <formula>5</formula>
    </cfRule>
  </conditionalFormatting>
  <conditionalFormatting sqref="C7">
    <cfRule type="cellIs" priority="9" operator="between" dxfId="0">
      <formula>1</formula>
      <formula>1.49</formula>
    </cfRule>
    <cfRule type="cellIs" priority="10" operator="between" dxfId="1">
      <formula>1.5</formula>
      <formula>2.49</formula>
    </cfRule>
    <cfRule type="cellIs" priority="11" operator="between" dxfId="2">
      <formula>2.5</formula>
      <formula>3.49</formula>
    </cfRule>
    <cfRule type="cellIs" priority="12" operator="between" dxfId="3">
      <formula>3.5</formula>
      <formula>5</formula>
    </cfRule>
  </conditionalFormatting>
  <conditionalFormatting sqref="C8">
    <cfRule type="cellIs" priority="13" operator="between" dxfId="0">
      <formula>1</formula>
      <formula>1.49</formula>
    </cfRule>
    <cfRule type="cellIs" priority="14" operator="between" dxfId="1">
      <formula>1.5</formula>
      <formula>2.49</formula>
    </cfRule>
    <cfRule type="cellIs" priority="15" operator="between" dxfId="2">
      <formula>2.5</formula>
      <formula>3.49</formula>
    </cfRule>
    <cfRule type="cellIs" priority="16" operator="between" dxfId="3">
      <formula>3.5</formula>
      <formula>5</formula>
    </cfRule>
  </conditionalFormatting>
  <conditionalFormatting sqref="C9">
    <cfRule type="cellIs" priority="17" operator="between" dxfId="0">
      <formula>1</formula>
      <formula>1.49</formula>
    </cfRule>
    <cfRule type="cellIs" priority="18" operator="between" dxfId="1">
      <formula>1.5</formula>
      <formula>2.49</formula>
    </cfRule>
    <cfRule type="cellIs" priority="19" operator="between" dxfId="2">
      <formula>2.5</formula>
      <formula>3.49</formula>
    </cfRule>
    <cfRule type="cellIs" priority="20" operator="between" dxfId="3">
      <formula>3.5</formula>
      <formula>5</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0D7377"/>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 customWidth="1" min="1" max="1"/>
    <col width="30" customWidth="1" min="2" max="2"/>
    <col width="12" customWidth="1" min="3" max="3"/>
    <col width="3" customWidth="1" min="4" max="4"/>
  </cols>
  <sheetData>
    <row r="1" ht="48" customHeight="1">
      <c r="A1" s="1" t="inlineStr">
        <is>
          <t xml:space="preserve">  Tradecraft &amp; Governance Readiness</t>
        </is>
      </c>
      <c r="B1" s="2" t="n"/>
      <c r="C1" s="2" t="n"/>
      <c r="D1" s="2" t="n"/>
    </row>
    <row r="2" ht="22" customHeight="1">
      <c r="A2" s="55" t="inlineStr">
        <is>
          <t xml:space="preserve">  Enrichment dimensions — do not affect TIBMM tier determination</t>
        </is>
      </c>
      <c r="B2" s="33" t="n"/>
      <c r="C2" s="33" t="n"/>
      <c r="D2" s="33" t="n"/>
    </row>
    <row r="4" ht="24" customHeight="1">
      <c r="B4" s="31" t="inlineStr">
        <is>
          <t>Dimension</t>
        </is>
      </c>
      <c r="C4" s="31" t="inlineStr">
        <is>
          <t>Score</t>
        </is>
      </c>
    </row>
    <row r="5" ht="22" customHeight="1">
      <c r="B5" s="51" t="inlineStr">
        <is>
          <t>Tradecraft and Analyst Capability</t>
        </is>
      </c>
      <c r="C5" s="54">
        <f>'Results Dashboard'!D41</f>
        <v/>
      </c>
    </row>
    <row r="6" ht="22" customHeight="1">
      <c r="B6" s="51" t="inlineStr">
        <is>
          <t>Governance, Legal, Ethics, and Improvement</t>
        </is>
      </c>
      <c r="C6" s="54">
        <f>'Results Dashboard'!D45</f>
        <v/>
      </c>
    </row>
  </sheetData>
  <mergeCells count="2">
    <mergeCell ref="A1:D1"/>
    <mergeCell ref="A2:D2"/>
  </mergeCells>
  <conditionalFormatting sqref="C5">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C6">
    <cfRule type="cellIs" priority="5" operator="between" dxfId="0">
      <formula>1</formula>
      <formula>1.49</formula>
    </cfRule>
    <cfRule type="cellIs" priority="6" operator="between" dxfId="1">
      <formula>1.5</formula>
      <formula>2.49</formula>
    </cfRule>
    <cfRule type="cellIs" priority="7" operator="between" dxfId="2">
      <formula>2.5</formula>
      <formula>3.49</formula>
    </cfRule>
    <cfRule type="cellIs" priority="8" operator="between" dxfId="3">
      <formula>3.5</formula>
      <formula>5</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2D3E50"/>
    <outlinePr summaryBelow="1" summaryRight="1"/>
    <pageSetUpPr/>
  </sheetPr>
  <dimension ref="A1:C226"/>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40" customWidth="1" min="3" max="3"/>
  </cols>
  <sheetData>
    <row r="1" ht="48" customHeight="1">
      <c r="A1" s="1" t="inlineStr">
        <is>
          <t xml:space="preserve">  TIBMM Rubric Reference</t>
        </is>
      </c>
      <c r="B1" s="2" t="n"/>
      <c r="C1" s="2" t="n"/>
    </row>
    <row r="3" ht="28" customHeight="1">
      <c r="A3" s="15" t="inlineStr">
        <is>
          <t xml:space="preserve">  TIBMM CORE TIERS</t>
        </is>
      </c>
      <c r="B3" s="4" t="n"/>
      <c r="C3" s="4" t="n"/>
    </row>
    <row r="4" ht="30" customHeight="1">
      <c r="A4" s="15" t="inlineStr">
        <is>
          <t xml:space="preserve">  Tier 0: Foundation</t>
        </is>
      </c>
      <c r="B4" s="4" t="n"/>
      <c r="C4" s="4" t="n"/>
    </row>
    <row r="5" ht="36" customHeight="1">
      <c r="A5" s="56" t="inlineStr">
        <is>
          <t>The CTI function exists as a distinct capability with a known scope. Someone reads threat reports, someone handles IOCs, and stakeholders know CTI is here. Without these foundations, every higher tier is cosmetic.</t>
        </is>
      </c>
      <c r="B5" s="6" t="n"/>
      <c r="C5" s="6" t="n"/>
    </row>
    <row r="6" ht="26" customHeight="1">
      <c r="A6" s="5" t="inlineStr">
        <is>
          <t>Mission, Charter, and Service Catalog</t>
        </is>
      </c>
      <c r="B6" s="6" t="n"/>
      <c r="C6" s="6" t="n"/>
    </row>
    <row r="7" ht="22" customHeight="1">
      <c r="A7" s="14" t="inlineStr">
        <is>
          <t>Level</t>
        </is>
      </c>
      <c r="B7" s="14" t="inlineStr">
        <is>
          <t>Description</t>
        </is>
      </c>
      <c r="C7" s="14" t="inlineStr">
        <is>
          <t>Quantitative Measure</t>
        </is>
      </c>
    </row>
    <row r="8" ht="42" customHeight="1">
      <c r="A8" s="57" t="inlineStr">
        <is>
          <t>1 — Initial</t>
        </is>
      </c>
      <c r="B8" s="58" t="inlineStr">
        <is>
          <t>No documented mission, charter, or service catalog. CTI exists as a title without a defined scope; stakeholders cannot consistently describe what the team delivers.</t>
        </is>
      </c>
      <c r="C8" s="58" t="inlineStr">
        <is>
          <t>No written charter; stakeholder descriptions diverge significantly.</t>
        </is>
      </c>
    </row>
    <row r="9" ht="42" customHeight="1">
      <c r="A9" s="59" t="inlineStr">
        <is>
          <t>2 — Repeatable</t>
        </is>
      </c>
      <c r="B9" s="60" t="inlineStr">
        <is>
          <t>An informal description of CTI's role exists (email thread, wiki page) but is out of date, not signed off, and not socialized.</t>
        </is>
      </c>
      <c r="C9" s="60" t="inlineStr">
        <is>
          <t>Informal 1-page description exists; &lt;30% of named stakeholders have seen it.</t>
        </is>
      </c>
    </row>
    <row r="10" ht="42" customHeight="1">
      <c r="A10" s="61" t="inlineStr">
        <is>
          <t>3 — Defined</t>
        </is>
      </c>
      <c r="B10" s="62" t="inlineStr">
        <is>
          <t>A current CTI charter, mission, and service catalog are documented, approved by the SOC/Security leader, and socialized to named stakeholders (SOC, DE, IR at minimum).</t>
        </is>
      </c>
      <c r="C10" s="62" t="inlineStr">
        <is>
          <t>Charter approved within last 12 months; service catalog lists &gt;=3 service types.</t>
        </is>
      </c>
    </row>
    <row r="11" ht="42" customHeight="1">
      <c r="A11" s="63" t="inlineStr">
        <is>
          <t>4 — Managed</t>
        </is>
      </c>
      <c r="B11" s="64" t="inlineStr">
        <is>
          <t>Charter and catalog are reviewed annually with stakeholder input. Service catalog maps to stakeholder RACI; requests flow through a documented intake.</t>
        </is>
      </c>
      <c r="C11" s="64" t="inlineStr">
        <is>
          <t>Annual review on calendar; RACI defined; intake queue in ticketing system.</t>
        </is>
      </c>
    </row>
    <row r="12" ht="42" customHeight="1">
      <c r="A12" s="65" t="inlineStr">
        <is>
          <t>5 — Optimized</t>
        </is>
      </c>
      <c r="B12" s="66" t="inlineStr">
        <is>
          <t>Charter is a living artifact. Service catalog is instrumented — usage per service type is measured and feeds the next review. Charter referenced in budget and headcount conversations.</t>
        </is>
      </c>
      <c r="C12" s="66" t="inlineStr">
        <is>
          <t>Usage metrics per service type reported quarterly to leadership.</t>
        </is>
      </c>
    </row>
    <row r="14" ht="26" customHeight="1">
      <c r="A14" s="5" t="inlineStr">
        <is>
          <t>Indicator of Compromise Handling</t>
        </is>
      </c>
      <c r="B14" s="6" t="n"/>
      <c r="C14" s="6" t="n"/>
    </row>
    <row r="15" ht="22" customHeight="1">
      <c r="A15" s="14" t="inlineStr">
        <is>
          <t>Level</t>
        </is>
      </c>
      <c r="B15" s="14" t="inlineStr">
        <is>
          <t>Description</t>
        </is>
      </c>
      <c r="C15" s="14" t="inlineStr">
        <is>
          <t>Quantitative Measure</t>
        </is>
      </c>
    </row>
    <row r="16" ht="42" customHeight="1">
      <c r="A16" s="57" t="inlineStr">
        <is>
          <t>1 — Initial</t>
        </is>
      </c>
      <c r="B16" s="58" t="inlineStr">
        <is>
          <t>IOCs arrive via email, chat, or vendor portal and are handled ad-hoc by whoever notices. No triage, no enrichment, no routing convention.</t>
        </is>
      </c>
      <c r="C16" s="58" t="inlineStr">
        <is>
          <t>No IOC queue; no record of IOCs acted on in the last 90 days.</t>
        </is>
      </c>
    </row>
    <row r="17" ht="42" customHeight="1">
      <c r="A17" s="59" t="inlineStr">
        <is>
          <t>2 — Repeatable</t>
        </is>
      </c>
      <c r="B17" s="60" t="inlineStr">
        <is>
          <t>IOCs are forwarded to SOC/threat hunting manually on a best-effort basis. Some informal triage — at least obvious false positives are filtered.</t>
        </is>
      </c>
      <c r="C17" s="60" t="inlineStr">
        <is>
          <t>&gt;0 but no SLA; &lt;50% of IOCs are enriched before handoff.</t>
        </is>
      </c>
    </row>
    <row r="18" ht="42" customHeight="1">
      <c r="A18" s="61" t="inlineStr">
        <is>
          <t>3 — Defined</t>
        </is>
      </c>
      <c r="B18" s="62" t="inlineStr">
        <is>
          <t>IOCs are triaged against a documented process (source, context, confidence), enriched where useful, and routed to a named downstream owner (SIEM watchlist, EDR, firewall, hunt queue).</t>
        </is>
      </c>
      <c r="C18" s="62" t="inlineStr">
        <is>
          <t>Documented triage SOP; &gt;=80% of IOCs carry source + confidence + disposition.</t>
        </is>
      </c>
    </row>
    <row r="19" ht="42" customHeight="1">
      <c r="A19" s="63" t="inlineStr">
        <is>
          <t>4 — Managed</t>
        </is>
      </c>
      <c r="B19" s="64" t="inlineStr">
        <is>
          <t>IOC handling is tracked in a TIP or ticketing system. Provenance, TLP, expiration, and disposition are recorded. Stakeholder feedback (true/false positive) is captured.</t>
        </is>
      </c>
      <c r="C19" s="64" t="inlineStr">
        <is>
          <t>TIP or ticket-based tracking; &gt;=90% capture disposition; feedback rate measured.</t>
        </is>
      </c>
    </row>
    <row r="20" ht="42" customHeight="1">
      <c r="A20" s="65" t="inlineStr">
        <is>
          <t>5 — Optimized</t>
        </is>
      </c>
      <c r="B20" s="66" t="inlineStr">
        <is>
          <t>IOC handling is largely automated end-to-end: ingestion, enrichment, scoring, deployment, expiration, and feedback. Analyst time is spent on non-automatable judgment calls.</t>
        </is>
      </c>
      <c r="C20" s="66" t="inlineStr">
        <is>
          <t>&gt;=80% of IOC lifecycle automated; analyst review focused on exceptions only.</t>
        </is>
      </c>
    </row>
    <row r="22" ht="26" customHeight="1">
      <c r="A22" s="5" t="inlineStr">
        <is>
          <t>Intelligence Source Inventory</t>
        </is>
      </c>
      <c r="B22" s="6" t="n"/>
      <c r="C22" s="6" t="n"/>
    </row>
    <row r="23" ht="22" customHeight="1">
      <c r="A23" s="14" t="inlineStr">
        <is>
          <t>Level</t>
        </is>
      </c>
      <c r="B23" s="14" t="inlineStr">
        <is>
          <t>Description</t>
        </is>
      </c>
      <c r="C23" s="14" t="inlineStr">
        <is>
          <t>Quantitative Measure</t>
        </is>
      </c>
    </row>
    <row r="24" ht="42" customHeight="1">
      <c r="A24" s="57" t="inlineStr">
        <is>
          <t>1 — Initial</t>
        </is>
      </c>
      <c r="B24" s="58" t="inlineStr">
        <is>
          <t>No list of subscribed feeds or sources exists. Knowledge of what the team reads lives in individual analyst heads; turnover would lose most of it.</t>
        </is>
      </c>
      <c r="C24" s="58" t="inlineStr">
        <is>
          <t>No written source list.</t>
        </is>
      </c>
    </row>
    <row r="25" ht="42" customHeight="1">
      <c r="A25" s="59" t="inlineStr">
        <is>
          <t>2 — Repeatable</t>
        </is>
      </c>
      <c r="B25" s="60" t="inlineStr">
        <is>
          <t>A basic list exists (spreadsheet or wiki) naming feeds and OSINT sources the team uses, but ownership, cost, renewal date, and purpose are missing or stale.</t>
        </is>
      </c>
      <c r="C25" s="60" t="inlineStr">
        <is>
          <t>List exists; &lt;50% of entries have owner + last-review date.</t>
        </is>
      </c>
    </row>
    <row r="26" ht="42" customHeight="1">
      <c r="A26" s="61" t="inlineStr">
        <is>
          <t>3 — Defined</t>
        </is>
      </c>
      <c r="B26" s="62" t="inlineStr">
        <is>
          <t>A source inventory is maintained with name, type (OSINT, commercial, ISAC, government), owner, cost, renewal date, and short purpose statement. Reviewed at least annually.</t>
        </is>
      </c>
      <c r="C26" s="62" t="inlineStr">
        <is>
          <t>&gt;=90% of sources have owner + purpose + review date.</t>
        </is>
      </c>
    </row>
    <row r="27" ht="42" customHeight="1">
      <c r="A27" s="63" t="inlineStr">
        <is>
          <t>4 — Managed</t>
        </is>
      </c>
      <c r="B27" s="64" t="inlineStr">
        <is>
          <t>Sources are evaluated for quality using a lightweight framework (CRAAP or Admiralty-style rating). Low-value sources are retired. Gaps against stakeholder needs are documented.</t>
        </is>
      </c>
      <c r="C27" s="64" t="inlineStr">
        <is>
          <t>Documented source quality ratings; &gt;=1 retirement or addition per year based on ROI.</t>
        </is>
      </c>
    </row>
    <row r="28" ht="42" customHeight="1">
      <c r="A28" s="65" t="inlineStr">
        <is>
          <t>5 — Optimized</t>
        </is>
      </c>
      <c r="B28" s="66" t="inlineStr">
        <is>
          <t>Source ROI is measured against Priority Intelligence Requirements. Source changes are tied to explicit business cases. Cost-per-useful-product is tracked.</t>
        </is>
      </c>
      <c r="C28" s="66" t="inlineStr">
        <is>
          <t>Source ROI metric tracked; inventory cross-referenced to PIRs.</t>
        </is>
      </c>
    </row>
    <row r="30" ht="26" customHeight="1">
      <c r="A30" s="5" t="inlineStr">
        <is>
          <t>Stakeholder Awareness and Access</t>
        </is>
      </c>
      <c r="B30" s="6" t="n"/>
      <c r="C30" s="6" t="n"/>
    </row>
    <row r="31" ht="22" customHeight="1">
      <c r="A31" s="14" t="inlineStr">
        <is>
          <t>Level</t>
        </is>
      </c>
      <c r="B31" s="14" t="inlineStr">
        <is>
          <t>Description</t>
        </is>
      </c>
      <c r="C31" s="14" t="inlineStr">
        <is>
          <t>Quantitative Measure</t>
        </is>
      </c>
    </row>
    <row r="32" ht="42" customHeight="1">
      <c r="A32" s="57" t="inlineStr">
        <is>
          <t>1 — Initial</t>
        </is>
      </c>
      <c r="B32" s="58" t="inlineStr">
        <is>
          <t>Stakeholder teams (SOC, Detection Engineering, Incident Response) cannot consistently name a CTI contact or describe how to request support. Engagement depends on individual relationships.</t>
        </is>
      </c>
      <c r="C32" s="58" t="inlineStr">
        <is>
          <t>No stakeholder map; engagement is person-dependent.</t>
        </is>
      </c>
    </row>
    <row r="33" ht="42" customHeight="1">
      <c r="A33" s="59" t="inlineStr">
        <is>
          <t>2 — Repeatable</t>
        </is>
      </c>
      <c r="B33" s="60" t="inlineStr">
        <is>
          <t>CTI has informal relationships with at least one named stakeholder team (typically SOC or IR). Ad-hoc meetings occur but are not scheduled.</t>
        </is>
      </c>
      <c r="C33" s="60" t="inlineStr">
        <is>
          <t>1-2 stakeholder teams engaged; no recurring meeting cadence.</t>
        </is>
      </c>
    </row>
    <row r="34" ht="42" customHeight="1">
      <c r="A34" s="61" t="inlineStr">
        <is>
          <t>3 — Defined</t>
        </is>
      </c>
      <c r="B34" s="62" t="inlineStr">
        <is>
          <t>Named CTI points-of-contact are published for each stakeholder team (SOC, DE, IR at minimum). Recurring check-ins exist with at least one stakeholder.</t>
        </is>
      </c>
      <c r="C34" s="62" t="inlineStr">
        <is>
          <t>&gt;=3 stakeholder teams have named POC; &gt;=1 recurring cadence in place.</t>
        </is>
      </c>
    </row>
    <row r="35" ht="42" customHeight="1">
      <c r="A35" s="63" t="inlineStr">
        <is>
          <t>4 — Managed</t>
        </is>
      </c>
      <c r="B35" s="64" t="inlineStr">
        <is>
          <t>Recurring cadence with all primary stakeholders (SOC, DE, IR, VM). Each cadence has a documented agenda and an owner. Intake and RFI paths are known and used.</t>
        </is>
      </c>
      <c r="C35" s="64" t="inlineStr">
        <is>
          <t>&gt;=4 recurring cadences; agendas archived; RFIs logged.</t>
        </is>
      </c>
    </row>
    <row r="36" ht="42" customHeight="1">
      <c r="A36" s="65" t="inlineStr">
        <is>
          <t>5 — Optimized</t>
        </is>
      </c>
      <c r="B36" s="66" t="inlineStr">
        <is>
          <t>Stakeholder satisfaction is measured (NPS or equivalent) on an annual cycle. CTI adjusts cadence, products, and services based on stakeholder feedback. New stakeholders are onboarded via a defined intake.</t>
        </is>
      </c>
      <c r="C36" s="66" t="inlineStr">
        <is>
          <t>Annual NPS survey; documented onboarding; changes traceable to feedback.</t>
        </is>
      </c>
    </row>
    <row r="38" ht="30" customHeight="1">
      <c r="A38" s="15" t="inlineStr">
        <is>
          <t xml:space="preserve">  Tier 1: Basic</t>
        </is>
      </c>
      <c r="B38" s="4" t="n"/>
      <c r="C38" s="4" t="n"/>
    </row>
    <row r="39" ht="36" customHeight="1">
      <c r="A39" s="56" t="inlineStr">
        <is>
          <t>CTI operates from written Priority Intelligence Requirements, uses a consistent product template with BLUF structure, applies calibrated probability language, and rates sources for reliability. This is the analytic tradecraft floor required before higher tiers become meaningful.</t>
        </is>
      </c>
      <c r="B39" s="6" t="n"/>
      <c r="C39" s="6" t="n"/>
    </row>
    <row r="40" ht="26" customHeight="1">
      <c r="A40" s="5" t="inlineStr">
        <is>
          <t>Priority Intelligence Requirements (PIRs)</t>
        </is>
      </c>
      <c r="B40" s="6" t="n"/>
      <c r="C40" s="6" t="n"/>
    </row>
    <row r="41" ht="22" customHeight="1">
      <c r="A41" s="14" t="inlineStr">
        <is>
          <t>Level</t>
        </is>
      </c>
      <c r="B41" s="14" t="inlineStr">
        <is>
          <t>Description</t>
        </is>
      </c>
      <c r="C41" s="14" t="inlineStr">
        <is>
          <t>Quantitative Measure</t>
        </is>
      </c>
    </row>
    <row r="42" ht="42" customHeight="1">
      <c r="A42" s="57" t="inlineStr">
        <is>
          <t>1 — Initial</t>
        </is>
      </c>
      <c r="B42" s="58" t="inlineStr">
        <is>
          <t>No PIRs exist. Collection and analysis are driven by whatever catches the analyst's eye or whatever a stakeholder asked for most recently.</t>
        </is>
      </c>
      <c r="C42" s="58" t="inlineStr">
        <is>
          <t>Zero written PIRs.</t>
        </is>
      </c>
    </row>
    <row r="43" ht="42" customHeight="1">
      <c r="A43" s="59" t="inlineStr">
        <is>
          <t>2 — Repeatable</t>
        </is>
      </c>
      <c r="B43" s="60" t="inlineStr">
        <is>
          <t>A legacy PIR deck exists but has not been reviewed in &gt;12 months. Most current collection cannot be traced back to it.</t>
        </is>
      </c>
      <c r="C43" s="60" t="inlineStr">
        <is>
          <t>Stale PIRs; &lt;30% of collection traceable to them.</t>
        </is>
      </c>
    </row>
    <row r="44" ht="42" customHeight="1">
      <c r="A44" s="61" t="inlineStr">
        <is>
          <t>3 — Defined</t>
        </is>
      </c>
      <c r="B44" s="62" t="inlineStr">
        <is>
          <t>A current set of 6-12 PIRs is documented, each with a named stakeholder and a business question. Reviewed at least annually with stakeholder input.</t>
        </is>
      </c>
      <c r="C44" s="62" t="inlineStr">
        <is>
          <t>6-12 PIRs, each with stakeholder + question; &lt;=12 months since last review.</t>
        </is>
      </c>
    </row>
    <row r="45" ht="42" customHeight="1">
      <c r="A45" s="63" t="inlineStr">
        <is>
          <t>4 — Managed</t>
        </is>
      </c>
      <c r="B45" s="64" t="inlineStr">
        <is>
          <t>PIRs are decomposed into Specific Intelligence Requirements (SIRs). Coverage against PIRs is measured. Gaps are tracked and addressed.</t>
        </is>
      </c>
      <c r="C45" s="64" t="inlineStr">
        <is>
          <t>&gt;=80% of PIRs decomposed to SIRs; PIR coverage rate tracked.</t>
        </is>
      </c>
    </row>
    <row r="46" ht="42" customHeight="1">
      <c r="A46" s="65" t="inlineStr">
        <is>
          <t>5 — Optimized</t>
        </is>
      </c>
      <c r="B46" s="66" t="inlineStr">
        <is>
          <t>PIR development follows a documented process with stakeholder workshops, risk-register alignment, and explicit retirement of expired PIRs. PIR lifecycle metrics reported to leadership.</t>
        </is>
      </c>
      <c r="C46" s="66" t="inlineStr">
        <is>
          <t>Documented PIR lifecycle; retirement list; quarterly metric report.</t>
        </is>
      </c>
    </row>
    <row r="48" ht="26" customHeight="1">
      <c r="A48" s="5" t="inlineStr">
        <is>
          <t>Product Template and BLUF Structure</t>
        </is>
      </c>
      <c r="B48" s="6" t="n"/>
      <c r="C48" s="6" t="n"/>
    </row>
    <row r="49" ht="22" customHeight="1">
      <c r="A49" s="14" t="inlineStr">
        <is>
          <t>Level</t>
        </is>
      </c>
      <c r="B49" s="14" t="inlineStr">
        <is>
          <t>Description</t>
        </is>
      </c>
      <c r="C49" s="14" t="inlineStr">
        <is>
          <t>Quantitative Measure</t>
        </is>
      </c>
    </row>
    <row r="50" ht="42" customHeight="1">
      <c r="A50" s="57" t="inlineStr">
        <is>
          <t>1 — Initial</t>
        </is>
      </c>
      <c r="B50" s="58" t="inlineStr">
        <is>
          <t>No product template. Reports vary widely in structure; BLUF is absent or buried. Analysts each produce their own format.</t>
        </is>
      </c>
      <c r="C50" s="58" t="inlineStr">
        <is>
          <t>No template; &lt;20% of products begin with a key judgment.</t>
        </is>
      </c>
    </row>
    <row r="51" ht="42" customHeight="1">
      <c r="A51" s="59" t="inlineStr">
        <is>
          <t>2 — Repeatable</t>
        </is>
      </c>
      <c r="B51" s="60" t="inlineStr">
        <is>
          <t>A template exists but is inconsistently applied. BLUF is sometimes present but is frequently confused with an executive summary.</t>
        </is>
      </c>
      <c r="C51" s="60" t="inlineStr">
        <is>
          <t>Template exists; &lt;60% of products conform.</t>
        </is>
      </c>
    </row>
    <row r="52" ht="42" customHeight="1">
      <c r="A52" s="61" t="inlineStr">
        <is>
          <t>3 — Defined</t>
        </is>
      </c>
      <c r="B52" s="62" t="inlineStr">
        <is>
          <t>All finished products conform to a template that begins with a BLUF (bottom line up front) with key judgments. Evidence, analysis, implications, and outlook are distinct sections.</t>
        </is>
      </c>
      <c r="C52" s="62" t="inlineStr">
        <is>
          <t>&gt;=90% of products conform; BLUF is the first paragraph in every product.</t>
        </is>
      </c>
    </row>
    <row r="53" ht="42" customHeight="1">
      <c r="A53" s="63" t="inlineStr">
        <is>
          <t>4 — Managed</t>
        </is>
      </c>
      <c r="B53" s="64" t="inlineStr">
        <is>
          <t>Template includes alternatives considered and customer-relevance section. Template is version-controlled; changes go through analyst review.</t>
        </is>
      </c>
      <c r="C53" s="64" t="inlineStr">
        <is>
          <t>Template versioned; alternatives section present in &gt;=80% of products.</t>
        </is>
      </c>
    </row>
    <row r="54" ht="42" customHeight="1">
      <c r="A54" s="65" t="inlineStr">
        <is>
          <t>5 — Optimized</t>
        </is>
      </c>
      <c r="B54" s="66" t="inlineStr">
        <is>
          <t>Template structure is a trained tradecraft expectation. Deviations are caught in peer review. Template is benchmarked against ICD 203 standards.</t>
        </is>
      </c>
      <c r="C54" s="66" t="inlineStr">
        <is>
          <t>ICD 203 mapping documented; peer review catches template deviations.</t>
        </is>
      </c>
    </row>
    <row r="56" ht="26" customHeight="1">
      <c r="A56" s="5" t="inlineStr">
        <is>
          <t>Calibrated Language and Source Reliability</t>
        </is>
      </c>
      <c r="B56" s="6" t="n"/>
      <c r="C56" s="6" t="n"/>
    </row>
    <row r="57" ht="22" customHeight="1">
      <c r="A57" s="14" t="inlineStr">
        <is>
          <t>Level</t>
        </is>
      </c>
      <c r="B57" s="14" t="inlineStr">
        <is>
          <t>Description</t>
        </is>
      </c>
      <c r="C57" s="14" t="inlineStr">
        <is>
          <t>Quantitative Measure</t>
        </is>
      </c>
    </row>
    <row r="58" ht="42" customHeight="1">
      <c r="A58" s="57" t="inlineStr">
        <is>
          <t>1 — Initial</t>
        </is>
      </c>
      <c r="B58" s="58" t="inlineStr">
        <is>
          <t>Analysts use undefined probability terms ("possible", "probable", "likely") interchangeably. Sources are not rated. Confidence is implicit.</t>
        </is>
      </c>
      <c r="C58" s="58" t="inlineStr">
        <is>
          <t>No calibrated scale; no source reliability ratings.</t>
        </is>
      </c>
    </row>
    <row r="59" ht="42" customHeight="1">
      <c r="A59" s="59" t="inlineStr">
        <is>
          <t>2 — Repeatable</t>
        </is>
      </c>
      <c r="B59" s="60" t="inlineStr">
        <is>
          <t>Team is aware of calibrated probability language and Admiralty/NATO-style source rating but applies them inconsistently across products.</t>
        </is>
      </c>
      <c r="C59" s="60" t="inlineStr">
        <is>
          <t>&lt;50% of judgments carry explicit confidence language or source rating.</t>
        </is>
      </c>
    </row>
    <row r="60" ht="42" customHeight="1">
      <c r="A60" s="61" t="inlineStr">
        <is>
          <t>3 — Defined</t>
        </is>
      </c>
      <c r="B60" s="62" t="inlineStr">
        <is>
          <t>All key judgments use calibrated probability language (e.g., the 8-level ODNI scale from "almost certain" down to "remote"). Sources are rated for reliability (A-F) and information credibility (1-6).</t>
        </is>
      </c>
      <c r="C60" s="62" t="inlineStr">
        <is>
          <t>&gt;=90% of key judgments have calibrated language; &gt;=90% of sources rated.</t>
        </is>
      </c>
    </row>
    <row r="61" ht="42" customHeight="1">
      <c r="A61" s="63" t="inlineStr">
        <is>
          <t>4 — Managed</t>
        </is>
      </c>
      <c r="B61" s="64" t="inlineStr">
        <is>
          <t>Template enforces calibrated language and source rating. Team references the ICD 203 nine standards in peer review. Deviations are flagged.</t>
        </is>
      </c>
      <c r="C61" s="64" t="inlineStr">
        <is>
          <t>Peer review checklist references ICD 203; deviations tracked.</t>
        </is>
      </c>
    </row>
    <row r="62" ht="42" customHeight="1">
      <c r="A62" s="65" t="inlineStr">
        <is>
          <t>5 — Optimized</t>
        </is>
      </c>
      <c r="B62" s="66" t="inlineStr">
        <is>
          <t>Forecast calibration is measured: statements labeled "likely (70-84%)" come true roughly 70-84% of the time when aggregated. Miscalibration drives retraining.</t>
        </is>
      </c>
      <c r="C62" s="66" t="inlineStr">
        <is>
          <t>Brier score or equivalent tracked for forecasts; retraining cadence defined.</t>
        </is>
      </c>
    </row>
    <row r="64" ht="26" customHeight="1">
      <c r="A64" s="5" t="inlineStr">
        <is>
          <t>Collection Management Framework (CMF)</t>
        </is>
      </c>
      <c r="B64" s="6" t="n"/>
      <c r="C64" s="6" t="n"/>
    </row>
    <row r="65" ht="22" customHeight="1">
      <c r="A65" s="14" t="inlineStr">
        <is>
          <t>Level</t>
        </is>
      </c>
      <c r="B65" s="14" t="inlineStr">
        <is>
          <t>Description</t>
        </is>
      </c>
      <c r="C65" s="14" t="inlineStr">
        <is>
          <t>Quantitative Measure</t>
        </is>
      </c>
    </row>
    <row r="66" ht="42" customHeight="1">
      <c r="A66" s="57" t="inlineStr">
        <is>
          <t>1 — Initial</t>
        </is>
      </c>
      <c r="B66" s="58" t="inlineStr">
        <is>
          <t>No Collection Management Framework exists. No mapping between what is collected and what PIRs or questions it is meant to answer.</t>
        </is>
      </c>
      <c r="C66" s="58" t="inlineStr">
        <is>
          <t>No CMF.</t>
        </is>
      </c>
    </row>
    <row r="67" ht="42" customHeight="1">
      <c r="A67" s="59" t="inlineStr">
        <is>
          <t>2 — Repeatable</t>
        </is>
      </c>
      <c r="B67" s="60" t="inlineStr">
        <is>
          <t>An informal CMF draft exists (often in a spreadsheet) listing feeds against topics but without PIR traceability.</t>
        </is>
      </c>
      <c r="C67" s="60" t="inlineStr">
        <is>
          <t>Draft CMF; &lt;30% of sources mapped to PIRs.</t>
        </is>
      </c>
    </row>
    <row r="68" ht="42" customHeight="1">
      <c r="A68" s="61" t="inlineStr">
        <is>
          <t>3 — Defined</t>
        </is>
      </c>
      <c r="B68" s="62" t="inlineStr">
        <is>
          <t>A CMF is documented that maps each source to the PIRs and SIRs it is intended to support. Coverage gaps are visible.</t>
        </is>
      </c>
      <c r="C68" s="62" t="inlineStr">
        <is>
          <t>&gt;=80% of sources mapped to at least one PIR; gap list maintained.</t>
        </is>
      </c>
    </row>
    <row r="69" ht="42" customHeight="1">
      <c r="A69" s="63" t="inlineStr">
        <is>
          <t>4 — Managed</t>
        </is>
      </c>
      <c r="B69" s="64" t="inlineStr">
        <is>
          <t>CMF is reviewed quarterly; gaps drive source addition/retirement decisions. Sources are CRAAP-evaluated and tagged for collection technique (passive vs. active).</t>
        </is>
      </c>
      <c r="C69" s="64" t="inlineStr">
        <is>
          <t>Quarterly CMF review; CRAAP ratings on &gt;=80% of sources.</t>
        </is>
      </c>
    </row>
    <row r="70" ht="42" customHeight="1">
      <c r="A70" s="65" t="inlineStr">
        <is>
          <t>5 — Optimized</t>
        </is>
      </c>
      <c r="B70" s="66" t="inlineStr">
        <is>
          <t>CMF drives an explicit collection plan per PIR. Source cost, coverage, and ROI are tracked; decisions are defensible to leadership and auditors.</t>
        </is>
      </c>
      <c r="C70" s="66" t="inlineStr">
        <is>
          <t>Collection plan per PIR; ROI metric per source.</t>
        </is>
      </c>
    </row>
    <row r="72" ht="30" customHeight="1">
      <c r="A72" s="15" t="inlineStr">
        <is>
          <t xml:space="preserve">  Tier 2: Operational</t>
        </is>
      </c>
      <c r="B72" s="4" t="n"/>
      <c r="C72" s="4" t="n"/>
    </row>
    <row r="73" ht="36" customHeight="1">
      <c r="A73" s="56" t="inlineStr">
        <is>
          <t>A Threat Intelligence Platform (or equivalent) is in place; IOC flow to SIEM and EDR is automated; Detection Engineering handoff is scheduled; CTI partners with the dedicated Threat Hunting team on a cadence; and Incident Response is enriched with CTI context on every incident. This is where CTI becomes visible in day-to-day SOC operations.</t>
        </is>
      </c>
      <c r="B73" s="6" t="n"/>
      <c r="C73" s="6" t="n"/>
    </row>
    <row r="74" ht="26" customHeight="1">
      <c r="A74" s="5" t="inlineStr">
        <is>
          <t>Threat Intelligence Platform and IOC Pipeline</t>
        </is>
      </c>
      <c r="B74" s="6" t="n"/>
      <c r="C74" s="6" t="n"/>
    </row>
    <row r="75" ht="22" customHeight="1">
      <c r="A75" s="14" t="inlineStr">
        <is>
          <t>Level</t>
        </is>
      </c>
      <c r="B75" s="14" t="inlineStr">
        <is>
          <t>Description</t>
        </is>
      </c>
      <c r="C75" s="14" t="inlineStr">
        <is>
          <t>Quantitative Measure</t>
        </is>
      </c>
    </row>
    <row r="76" ht="42" customHeight="1">
      <c r="A76" s="57" t="inlineStr">
        <is>
          <t>1 — Initial</t>
        </is>
      </c>
      <c r="B76" s="58" t="inlineStr">
        <is>
          <t>No TIP. IOCs live in spreadsheets, emails, or SIEM watchlists updated by hand. No systematic ingestion, enrichment, or expiration.</t>
        </is>
      </c>
      <c r="C76" s="58" t="inlineStr">
        <is>
          <t>No TIP; manual IOC management.</t>
        </is>
      </c>
    </row>
    <row r="77" ht="42" customHeight="1">
      <c r="A77" s="59" t="inlineStr">
        <is>
          <t>2 — Repeatable</t>
        </is>
      </c>
      <c r="B77" s="60" t="inlineStr">
        <is>
          <t>A TIP (OpenCTI, MISP, ThreatConnect, Anomali, Recorded Future, etc.) is deployed but underutilized. Some feeds ingested; manual export to SIEM.</t>
        </is>
      </c>
      <c r="C77" s="60" t="inlineStr">
        <is>
          <t>TIP in place; &lt;50% of feeds ingested; manual SIEM push.</t>
        </is>
      </c>
    </row>
    <row r="78" ht="42" customHeight="1">
      <c r="A78" s="61" t="inlineStr">
        <is>
          <t>3 — Defined</t>
        </is>
      </c>
      <c r="B78" s="62" t="inlineStr">
        <is>
          <t>TIP ingests multiple feeds via STIX/TAXII or API. Indicators are enriched on ingestion, tagged with TLP and source, and pushed to the SIEM via automation. IOC expiration is automated.</t>
        </is>
      </c>
      <c r="C78" s="62" t="inlineStr">
        <is>
          <t>&gt;=5 feeds automated; SIEM push via API; expiration policy configured.</t>
        </is>
      </c>
    </row>
    <row r="79" ht="42" customHeight="1">
      <c r="A79" s="63" t="inlineStr">
        <is>
          <t>4 — Managed</t>
        </is>
      </c>
      <c r="B79" s="64" t="inlineStr">
        <is>
          <t>Closed-loop feedback: SOC triage verdicts (true/false positive) flow back to TIP and adjust source fidelity scoring. Low-fidelity indicators are deprioritized; high-fidelity can trigger SOAR-based blocking.</t>
        </is>
      </c>
      <c r="C79" s="64" t="inlineStr">
        <is>
          <t>SOC feedback pipeline in production; source scoring adjusts based on verdicts.</t>
        </is>
      </c>
    </row>
    <row r="80" ht="42" customHeight="1">
      <c r="A80" s="65" t="inlineStr">
        <is>
          <t>5 — Optimized</t>
        </is>
      </c>
      <c r="B80" s="66" t="inlineStr">
        <is>
          <t>TIP is the single source of truth for indicators across SIEM, EDR, SOAR, and firewalls. TIP analytics (pivoting, relationship graphs) are part of the analyst workflow. Pipeline health is monitored.</t>
        </is>
      </c>
      <c r="C80" s="66" t="inlineStr">
        <is>
          <t>TIP is single source of truth; analyst pivoting in TIP standard; pipeline SLOs tracked.</t>
        </is>
      </c>
    </row>
    <row r="82" ht="26" customHeight="1">
      <c r="A82" s="5" t="inlineStr">
        <is>
          <t>Detection Engineering Handoff</t>
        </is>
      </c>
      <c r="B82" s="6" t="n"/>
      <c r="C82" s="6" t="n"/>
    </row>
    <row r="83" ht="22" customHeight="1">
      <c r="A83" s="14" t="inlineStr">
        <is>
          <t>Level</t>
        </is>
      </c>
      <c r="B83" s="14" t="inlineStr">
        <is>
          <t>Description</t>
        </is>
      </c>
      <c r="C83" s="14" t="inlineStr">
        <is>
          <t>Quantitative Measure</t>
        </is>
      </c>
    </row>
    <row r="84" ht="42" customHeight="1">
      <c r="A84" s="57" t="inlineStr">
        <is>
          <t>1 — Initial</t>
        </is>
      </c>
      <c r="B84" s="58" t="inlineStr">
        <is>
          <t>CTI and Detection Engineering interact ad-hoc. Detection requests are verbal or email; no backlog, no tracking, no provenance once rules ship.</t>
        </is>
      </c>
      <c r="C84" s="58" t="inlineStr">
        <is>
          <t>No shared backlog; no rule-level CTI provenance.</t>
        </is>
      </c>
    </row>
    <row r="85" ht="42" customHeight="1">
      <c r="A85" s="59" t="inlineStr">
        <is>
          <t>2 — Repeatable</t>
        </is>
      </c>
      <c r="B85" s="60" t="inlineStr">
        <is>
          <t>CTI submits occasional detection requests but without a template. DE sometimes responds; no formal cadence.</t>
        </is>
      </c>
      <c r="C85" s="60" t="inlineStr">
        <is>
          <t>&lt;1 formal request per month; no cadence.</t>
        </is>
      </c>
    </row>
    <row r="86" ht="42" customHeight="1">
      <c r="A86" s="61" t="inlineStr">
        <is>
          <t>3 — Defined</t>
        </is>
      </c>
      <c r="B86" s="62" t="inlineStr">
        <is>
          <t>Monthly (or more frequent) CTI-to-DE cadence. Requests use a standard template (threat, TTP, ATT&amp;CK ID, suggested logic). CTI-originated requests are tracked through the DE pipeline.</t>
        </is>
      </c>
      <c r="C86" s="62" t="inlineStr">
        <is>
          <t>&gt;=1 cadence per month; template in use; backlog visible to both teams.</t>
        </is>
      </c>
    </row>
    <row r="87" ht="42" customHeight="1">
      <c r="A87" s="63" t="inlineStr">
        <is>
          <t>4 — Managed</t>
        </is>
      </c>
      <c r="B87" s="64" t="inlineStr">
        <is>
          <t>CTI-driven detections are tagged in the Detection-as-Code repository with PIR/CTI source references. Rule hit rate and false-positive rate are measured against CTI-driven rules.</t>
        </is>
      </c>
      <c r="C87" s="64" t="inlineStr">
        <is>
          <t>CTI tag applied in DaC repo; hit rate / FP rate metrics produced.</t>
        </is>
      </c>
    </row>
    <row r="88" ht="42" customHeight="1">
      <c r="A88" s="65" t="inlineStr">
        <is>
          <t>5 — Optimized</t>
        </is>
      </c>
      <c r="B88" s="66" t="inlineStr">
        <is>
          <t>Lead time from CTI request to deployed detection is measured. ATT&amp;CK coverage driven by CTI inputs is mapped from the detection repo. CTI influences DE roadmap at planning meetings.</t>
        </is>
      </c>
      <c r="C88" s="66" t="inlineStr">
        <is>
          <t>Lead-time metric reported; ATT&amp;CK coverage map auto-generated.</t>
        </is>
      </c>
    </row>
    <row r="90" ht="26" customHeight="1">
      <c r="A90" s="5" t="inlineStr">
        <is>
          <t>Collaboration with the Threat Hunting Team</t>
        </is>
      </c>
      <c r="B90" s="6" t="n"/>
      <c r="C90" s="6" t="n"/>
    </row>
    <row r="91" ht="22" customHeight="1">
      <c r="A91" s="14" t="inlineStr">
        <is>
          <t>Level</t>
        </is>
      </c>
      <c r="B91" s="14" t="inlineStr">
        <is>
          <t>Description</t>
        </is>
      </c>
      <c r="C91" s="14" t="inlineStr">
        <is>
          <t>Quantitative Measure</t>
        </is>
      </c>
    </row>
    <row r="92" ht="42" customHeight="1">
      <c r="A92" s="57" t="inlineStr">
        <is>
          <t>1 — Initial</t>
        </is>
      </c>
      <c r="B92" s="58" t="inlineStr">
        <is>
          <t>No working relationship with the dedicated Threat Hunting team. CTI does not feed hunt ideas; hunt findings do not flow back to CTI.</t>
        </is>
      </c>
      <c r="C92" s="58" t="inlineStr">
        <is>
          <t>No cadence or structured handoff; hunt team operates without CTI input.</t>
        </is>
      </c>
    </row>
    <row r="93" ht="42" customHeight="1">
      <c r="A93" s="59" t="inlineStr">
        <is>
          <t>2 — Repeatable</t>
        </is>
      </c>
      <c r="B93" s="60" t="inlineStr">
        <is>
          <t>Informal, ad-hoc interaction when an analyst from either side reaches out. CTI occasionally emails an IOC or actor name to the hunt team; findings rarely come back.</t>
        </is>
      </c>
      <c r="C93" s="60" t="inlineStr">
        <is>
          <t>&lt;1 structured intel-to-hunt handoff per month; no return feedback path.</t>
        </is>
      </c>
    </row>
    <row r="94" ht="42" customHeight="1">
      <c r="A94" s="61" t="inlineStr">
        <is>
          <t>3 — Defined</t>
        </is>
      </c>
      <c r="B94" s="62" t="inlineStr">
        <is>
          <t>A recurring CTI-to-Hunt cadence exists (at least monthly). CTI submits hunt hypothesis abstracts to the hunt backlog, scoped against PIRs and MITRE ATT&amp;CK. Hunts target the upper tiers of the Pyramid of Pain (TTPs and tools) using CTI-provided adversary packages.</t>
        </is>
      </c>
      <c r="C94" s="62" t="inlineStr">
        <is>
          <t>&gt;=1 CTI-to-Hunt cadence per month; &gt;=3 CTI-submitted hunt abstracts per quarter.</t>
        </is>
      </c>
    </row>
    <row r="95" ht="42" customHeight="1">
      <c r="A95" s="63" t="inlineStr">
        <is>
          <t>4 — Managed</t>
        </is>
      </c>
      <c r="B95" s="64" t="inlineStr">
        <is>
          <t>Hunt findings flow back to CTI on a defined path and update the threat profile, PIRs, and the Collection Management Framework. CTI provides enriched intel views (actor, campaign, Diamond Model, ATT&amp;CK Navigator layers) to scope active hunts. TaHiTI-style three-phase flow is followed end-to-end.</t>
        </is>
      </c>
      <c r="C95" s="64" t="inlineStr">
        <is>
          <t>&gt;=80% of hunts scoped with a CTI package; documented return-feedback path in use.</t>
        </is>
      </c>
    </row>
    <row r="96" ht="42" customHeight="1">
      <c r="A96" s="65" t="inlineStr">
        <is>
          <t>5 — Optimized</t>
        </is>
      </c>
      <c r="B96" s="66" t="inlineStr">
        <is>
          <t>CTI-Hunt partnership is measured: % of hunts sourced by CTI, % of hunts producing a traceable downstream CTI or detection artifact, and lessons-learned retrospectives on cadence. PIRs and the CMF are routinely updated based on hunt findings.</t>
        </is>
      </c>
      <c r="C96" s="66" t="inlineStr">
        <is>
          <t>CTI-Hunt KPIs reported quarterly; measurable improvement in hunt yield year-over-year.</t>
        </is>
      </c>
    </row>
    <row r="98" ht="26" customHeight="1">
      <c r="A98" s="5" t="inlineStr">
        <is>
          <t>Incident Response Enrichment</t>
        </is>
      </c>
      <c r="B98" s="6" t="n"/>
      <c r="C98" s="6" t="n"/>
    </row>
    <row r="99" ht="22" customHeight="1">
      <c r="A99" s="14" t="inlineStr">
        <is>
          <t>Level</t>
        </is>
      </c>
      <c r="B99" s="14" t="inlineStr">
        <is>
          <t>Description</t>
        </is>
      </c>
      <c r="C99" s="14" t="inlineStr">
        <is>
          <t>Quantitative Measure</t>
        </is>
      </c>
    </row>
    <row r="100" ht="42" customHeight="1">
      <c r="A100" s="57" t="inlineStr">
        <is>
          <t>1 — Initial</t>
        </is>
      </c>
      <c r="B100" s="58" t="inlineStr">
        <is>
          <t>CTI is not systematically engaged during incidents. IR analysts search for context themselves; CTI may contribute if asked.</t>
        </is>
      </c>
      <c r="C100" s="58" t="inlineStr">
        <is>
          <t>CTI involvement in &lt;30% of major incidents.</t>
        </is>
      </c>
    </row>
    <row r="101" ht="42" customHeight="1">
      <c r="A101" s="59" t="inlineStr">
        <is>
          <t>2 — Repeatable</t>
        </is>
      </c>
      <c r="B101" s="60" t="inlineStr">
        <is>
          <t>CTI provides enrichment when asked. Post-incident, CTI sometimes adds context to the report.</t>
        </is>
      </c>
      <c r="C101" s="60" t="inlineStr">
        <is>
          <t>Ad-hoc enrichment; not tracked; no SLA.</t>
        </is>
      </c>
    </row>
    <row r="102" ht="42" customHeight="1">
      <c r="A102" s="61" t="inlineStr">
        <is>
          <t>3 — Defined</t>
        </is>
      </c>
      <c r="B102" s="62" t="inlineStr">
        <is>
          <t>Every incident ticket above a defined severity is enriched with CTI context (known actor / TTPs / campaign / prior observations). A named CTI liaison supports IR on-call.</t>
        </is>
      </c>
      <c r="C102" s="62" t="inlineStr">
        <is>
          <t>&gt;=90% of high-sev incidents enriched; on-call liaison named.</t>
        </is>
      </c>
    </row>
    <row r="103" ht="42" customHeight="1">
      <c r="A103" s="63" t="inlineStr">
        <is>
          <t>4 — Managed</t>
        </is>
      </c>
      <c r="B103" s="64" t="inlineStr">
        <is>
          <t>Enrichment is automated via TIP/SOAR on ticket creation. Incident TTPs are mapped to ATT&amp;CK and the Diamond Model. Post-incident, CTI contributes to lessons-learned.</t>
        </is>
      </c>
      <c r="C103" s="64" t="inlineStr">
        <is>
          <t>Automated enrichment in production; ATT&amp;CK mapping on &gt;=80% of IR cases.</t>
        </is>
      </c>
    </row>
    <row r="104" ht="42" customHeight="1">
      <c r="A104" s="65" t="inlineStr">
        <is>
          <t>5 — Optimized</t>
        </is>
      </c>
      <c r="B104" s="66" t="inlineStr">
        <is>
          <t>CTI-driven post-incident assessments produce updates to PIRs, detection backlog, and threat profile. Incident contribution metrics (MTTD/MTTR improvement) are tracked where measurable.</t>
        </is>
      </c>
      <c r="C104" s="66" t="inlineStr">
        <is>
          <t>Post-incident CTI output traceable to downstream changes; MTTR attribution measured.</t>
        </is>
      </c>
    </row>
    <row r="106" ht="30" customHeight="1">
      <c r="A106" s="15" t="inlineStr">
        <is>
          <t xml:space="preserve">  Tier 3: Advanced</t>
        </is>
      </c>
      <c r="B106" s="4" t="n"/>
      <c r="C106" s="4" t="n"/>
    </row>
    <row r="107" ht="36" customHeight="1">
      <c r="A107" s="56" t="inlineStr">
        <is>
          <t>CTI produces specialized intelligence for telco-context stakeholders (Vulnerability Management, Fraud, Third-Party Risk) and delivers a recurring Cyber Threat Landscape product at strategic/operational/tactical tiers. Outcome metrics are defined and reported.</t>
        </is>
      </c>
      <c r="B107" s="6" t="n"/>
      <c r="C107" s="6" t="n"/>
    </row>
    <row r="108" ht="26" customHeight="1">
      <c r="A108" s="5" t="inlineStr">
        <is>
          <t>Vulnerability and Exploit Intelligence</t>
        </is>
      </c>
      <c r="B108" s="6" t="n"/>
      <c r="C108" s="6" t="n"/>
    </row>
    <row r="109" ht="22" customHeight="1">
      <c r="A109" s="14" t="inlineStr">
        <is>
          <t>Level</t>
        </is>
      </c>
      <c r="B109" s="14" t="inlineStr">
        <is>
          <t>Description</t>
        </is>
      </c>
      <c r="C109" s="14" t="inlineStr">
        <is>
          <t>Quantitative Measure</t>
        </is>
      </c>
    </row>
    <row r="110" ht="42" customHeight="1">
      <c r="A110" s="57" t="inlineStr">
        <is>
          <t>1 — Initial</t>
        </is>
      </c>
      <c r="B110" s="58" t="inlineStr">
        <is>
          <t>No vulnerability intelligence contribution to Vulnerability Management. VM prioritizes on CVSS alone.</t>
        </is>
      </c>
      <c r="C110" s="58" t="inlineStr">
        <is>
          <t>No CTI input to VM prioritization.</t>
        </is>
      </c>
    </row>
    <row r="111" ht="42" customHeight="1">
      <c r="A111" s="59" t="inlineStr">
        <is>
          <t>2 — Repeatable</t>
        </is>
      </c>
      <c r="B111" s="60" t="inlineStr">
        <is>
          <t>Ad-hoc alerts on viral CVEs (the "log4j moment" pattern). No cadence. No telco-stack specificity.</t>
        </is>
      </c>
      <c r="C111" s="60" t="inlineStr">
        <is>
          <t>Reactive CVE alerts; no cadence; no telco-stack tagging.</t>
        </is>
      </c>
    </row>
    <row r="112" ht="42" customHeight="1">
      <c r="A112" s="61" t="inlineStr">
        <is>
          <t>3 — Defined</t>
        </is>
      </c>
      <c r="B112" s="62" t="inlineStr">
        <is>
          <t>Bi-weekly or monthly vulnerability intelligence brief to VM covering newly-disclosed CVEs relevant to the telco technology stack (RAN, core, transport, billing/OSS/BSS, hyperscaler, CPE).</t>
        </is>
      </c>
      <c r="C112" s="62" t="inlineStr">
        <is>
          <t>Recurring VM brief; telco-tech tagging applied.</t>
        </is>
      </c>
    </row>
    <row r="113" ht="42" customHeight="1">
      <c r="A113" s="63" t="inlineStr">
        <is>
          <t>4 — Managed</t>
        </is>
      </c>
      <c r="B113" s="64" t="inlineStr">
        <is>
          <t>EPSS, exploit-in-the-wild observation, and underground chatter are integrated. CTI-contributed score modifiers feed VM prioritization. Telco-specific protocol vulns (SS7, Diameter, GTP, 5G) are tracked.</t>
        </is>
      </c>
      <c r="C113" s="64" t="inlineStr">
        <is>
          <t>EPSS + exploit-observation inputs in VM; telco protocol coverage documented.</t>
        </is>
      </c>
    </row>
    <row r="114" ht="42" customHeight="1">
      <c r="A114" s="65" t="inlineStr">
        <is>
          <t>5 — Optimized</t>
        </is>
      </c>
      <c r="B114" s="66" t="inlineStr">
        <is>
          <t>CTI-driven risk scoring is the primary VM prioritization signal for externally-facing assets. Predictive advisories issued ahead of public disclosure where responsibly possible. Post-patch verification tracked.</t>
        </is>
      </c>
      <c r="C114" s="66" t="inlineStr">
        <is>
          <t>CTI score weighted &gt;=30% of VM prioritization; predictive advisories issued.</t>
        </is>
      </c>
    </row>
    <row r="116" ht="26" customHeight="1">
      <c r="A116" s="5" t="inlineStr">
        <is>
          <t>Telco Fraud Intelligence</t>
        </is>
      </c>
      <c r="B116" s="6" t="n"/>
      <c r="C116" s="6" t="n"/>
    </row>
    <row r="117" ht="22" customHeight="1">
      <c r="A117" s="14" t="inlineStr">
        <is>
          <t>Level</t>
        </is>
      </c>
      <c r="B117" s="14" t="inlineStr">
        <is>
          <t>Description</t>
        </is>
      </c>
      <c r="C117" s="14" t="inlineStr">
        <is>
          <t>Quantitative Measure</t>
        </is>
      </c>
    </row>
    <row r="118" ht="42" customHeight="1">
      <c r="A118" s="57" t="inlineStr">
        <is>
          <t>1 — Initial</t>
        </is>
      </c>
      <c r="B118" s="58" t="inlineStr">
        <is>
          <t>No intelligence contribution to the Fraud team on smishing, SIM swap, number porting abuse, account takeover, or brand impersonation.</t>
        </is>
      </c>
      <c r="C118" s="58" t="inlineStr">
        <is>
          <t>No Fraud engagement.</t>
        </is>
      </c>
    </row>
    <row r="119" ht="42" customHeight="1">
      <c r="A119" s="59" t="inlineStr">
        <is>
          <t>2 — Repeatable</t>
        </is>
      </c>
      <c r="B119" s="60" t="inlineStr">
        <is>
          <t>Occasional sharing of smishing samples or actor names when they surface in OSINT. No cadence; no partnership.</t>
        </is>
      </c>
      <c r="C119" s="60" t="inlineStr">
        <is>
          <t>Occasional, reactive sharing; no agreed intake.</t>
        </is>
      </c>
    </row>
    <row r="120" ht="42" customHeight="1">
      <c r="A120" s="61" t="inlineStr">
        <is>
          <t>3 — Defined</t>
        </is>
      </c>
      <c r="B120" s="62" t="inlineStr">
        <is>
          <t>A recurring cadence exists with the Fraud team covering smishing kits, SIM swap campaigns, account-takeover tooling, number-porting abuse, and brand impersonation domains. Intake for Fraud RFIs is defined.</t>
        </is>
      </c>
      <c r="C120" s="62" t="inlineStr">
        <is>
          <t>Recurring Fraud cadence; RFI intake documented; telco-fraud category coverage &gt;=5.</t>
        </is>
      </c>
    </row>
    <row r="121" ht="42" customHeight="1">
      <c r="A121" s="63" t="inlineStr">
        <is>
          <t>4 — Managed</t>
        </is>
      </c>
      <c r="B121" s="64" t="inlineStr">
        <is>
          <t>CTI feeds automate detection of brand impersonation (domain squatting, malvertising, lookalike apps). Smishing kits are collected and analyzed; indicators flow to SOC and Fraud detection.</t>
        </is>
      </c>
      <c r="C121" s="64" t="inlineStr">
        <is>
          <t>Automated brand monitoring; smishing kit repository maintained.</t>
        </is>
      </c>
    </row>
    <row r="122" ht="42" customHeight="1">
      <c r="A122" s="65" t="inlineStr">
        <is>
          <t>5 — Optimized</t>
        </is>
      </c>
      <c r="B122" s="66" t="inlineStr">
        <is>
          <t>CTI participates in cross-carrier intelligence sharing (ISAC/trust group) on fraud actors. Takedown or disruption actions are initiated; fraud prevention dollar impact attributed where possible.</t>
        </is>
      </c>
      <c r="C122" s="66" t="inlineStr">
        <is>
          <t>Cross-carrier sharing in production; takedown cadence; $ impact captured.</t>
        </is>
      </c>
    </row>
    <row r="124" ht="26" customHeight="1">
      <c r="A124" s="5" t="inlineStr">
        <is>
          <t>Third-Party and Supply-Chain Intelligence</t>
        </is>
      </c>
      <c r="B124" s="6" t="n"/>
      <c r="C124" s="6" t="n"/>
    </row>
    <row r="125" ht="22" customHeight="1">
      <c r="A125" s="14" t="inlineStr">
        <is>
          <t>Level</t>
        </is>
      </c>
      <c r="B125" s="14" t="inlineStr">
        <is>
          <t>Description</t>
        </is>
      </c>
      <c r="C125" s="14" t="inlineStr">
        <is>
          <t>Quantitative Measure</t>
        </is>
      </c>
    </row>
    <row r="126" ht="42" customHeight="1">
      <c r="A126" s="57" t="inlineStr">
        <is>
          <t>1 — Initial</t>
        </is>
      </c>
      <c r="B126" s="58" t="inlineStr">
        <is>
          <t>No third-party monitoring. Vendor and partner exposure is invisible to CTI.</t>
        </is>
      </c>
      <c r="C126" s="58" t="inlineStr">
        <is>
          <t>No TPRM engagement.</t>
        </is>
      </c>
    </row>
    <row r="127" ht="42" customHeight="1">
      <c r="A127" s="59" t="inlineStr">
        <is>
          <t>2 — Repeatable</t>
        </is>
      </c>
      <c r="B127" s="60" t="inlineStr">
        <is>
          <t>Occasional intelligence on major vendor breaches when they hit the news cycle. No list of monitored third parties; no cadence.</t>
        </is>
      </c>
      <c r="C127" s="60" t="inlineStr">
        <is>
          <t>Reactive; no monitored vendor list.</t>
        </is>
      </c>
    </row>
    <row r="128" ht="42" customHeight="1">
      <c r="A128" s="61" t="inlineStr">
        <is>
          <t>3 — Defined</t>
        </is>
      </c>
      <c r="B128" s="62" t="inlineStr">
        <is>
          <t>A list of the top 20-50 third parties (equipment vendors, roaming partners, CPE suppliers, cloud/SaaS providers, interconnect carriers) is monitored on a recurring cadence. Breach alerts route to TPRM.</t>
        </is>
      </c>
      <c r="C128" s="62" t="inlineStr">
        <is>
          <t>Top-N vendor list exists; recurring TPRM brief; breach intake path documented.</t>
        </is>
      </c>
    </row>
    <row r="129" ht="42" customHeight="1">
      <c r="A129" s="63" t="inlineStr">
        <is>
          <t>4 — Managed</t>
        </is>
      </c>
      <c r="B129" s="64" t="inlineStr">
        <is>
          <t>TPRM platform integration (or structured handoff) enables automated vendor-breach alerting. Supply-chain compromise indicators are tracked. Geopolitical shifts affecting critical vendors are surfaced.</t>
        </is>
      </c>
      <c r="C129" s="64" t="inlineStr">
        <is>
          <t>Automated alerts to TPRM; supply-chain IOC tracking active.</t>
        </is>
      </c>
    </row>
    <row r="130" ht="42" customHeight="1">
      <c r="A130" s="65" t="inlineStr">
        <is>
          <t>5 — Optimized</t>
        </is>
      </c>
      <c r="B130" s="66" t="inlineStr">
        <is>
          <t>CTI supports M&amp;A / procurement due diligence with cyber-threat exposure assessments. Roaming and interconnect partner risks inform network segmentation decisions.</t>
        </is>
      </c>
      <c r="C130" s="66" t="inlineStr">
        <is>
          <t>CTI input on &gt;=50% of material procurement decisions; roaming risk report annual.</t>
        </is>
      </c>
    </row>
    <row r="132" ht="26" customHeight="1">
      <c r="A132" s="5" t="inlineStr">
        <is>
          <t>Cyber Threat Landscape Reporting</t>
        </is>
      </c>
      <c r="B132" s="6" t="n"/>
      <c r="C132" s="6" t="n"/>
    </row>
    <row r="133" ht="22" customHeight="1">
      <c r="A133" s="14" t="inlineStr">
        <is>
          <t>Level</t>
        </is>
      </c>
      <c r="B133" s="14" t="inlineStr">
        <is>
          <t>Description</t>
        </is>
      </c>
      <c r="C133" s="14" t="inlineStr">
        <is>
          <t>Quantitative Measure</t>
        </is>
      </c>
    </row>
    <row r="134" ht="42" customHeight="1">
      <c r="A134" s="57" t="inlineStr">
        <is>
          <t>1 — Initial</t>
        </is>
      </c>
      <c r="B134" s="58" t="inlineStr">
        <is>
          <t>No recurring threat landscape product. When asked "what are the current threats to us", the answer varies by analyst.</t>
        </is>
      </c>
      <c r="C134" s="58" t="inlineStr">
        <is>
          <t>No recurring CTL product.</t>
        </is>
      </c>
    </row>
    <row r="135" ht="42" customHeight="1">
      <c r="A135" s="59" t="inlineStr">
        <is>
          <t>2 — Repeatable</t>
        </is>
      </c>
      <c r="B135" s="60" t="inlineStr">
        <is>
          <t>Occasional one-off threat reports produced on demand. No cadence, no consistent structure, no strategic/operational/tactical tiering.</t>
        </is>
      </c>
      <c r="C135" s="60" t="inlineStr">
        <is>
          <t>Irregular CTL reports; &lt;4 per year.</t>
        </is>
      </c>
    </row>
    <row r="136" ht="42" customHeight="1">
      <c r="A136" s="61" t="inlineStr">
        <is>
          <t>3 — Defined</t>
        </is>
      </c>
      <c r="B136" s="62" t="inlineStr">
        <is>
          <t>Monthly or quarterly Cyber Threat Landscape report delivered on a published schedule, following ENISA-style methodology. Tactical IOCs, operational campaigns, and strategic trends are distinguishable.</t>
        </is>
      </c>
      <c r="C136" s="62" t="inlineStr">
        <is>
          <t>Recurring CTL &gt;=quarterly; on-cadence &gt;=90%.</t>
        </is>
      </c>
    </row>
    <row r="137" ht="42" customHeight="1">
      <c r="A137" s="63" t="inlineStr">
        <is>
          <t>4 — Managed</t>
        </is>
      </c>
      <c r="B137" s="64" t="inlineStr">
        <is>
          <t>CTL covers strategic/operational/tactical tiers against a defined audience for each. Stakeholder feedback is solicited and logged. Trends across CTL editions are tracked.</t>
        </is>
      </c>
      <c r="C137" s="64" t="inlineStr">
        <is>
          <t>Tiered audiences defined; feedback captured; trend view maintained.</t>
        </is>
      </c>
    </row>
    <row r="138" ht="42" customHeight="1">
      <c r="A138" s="65" t="inlineStr">
        <is>
          <t>5 — Optimized</t>
        </is>
      </c>
      <c r="B138" s="66" t="inlineStr">
        <is>
          <t>Strategic CTL informs CISO/CIO risk decisions; operational CTL informs hunt and detection backlogs; tactical CTL feeds SIEM/EDR. Annual CTL retrospective identifies forecast hits and misses.</t>
        </is>
      </c>
      <c r="C138" s="66" t="inlineStr">
        <is>
          <t>CTL decisions attributable to downstream actions; annual retrospective published.</t>
        </is>
      </c>
    </row>
    <row r="140" ht="30" customHeight="1">
      <c r="A140" s="15" t="inlineStr">
        <is>
          <t xml:space="preserve">  Tier 4: Leading</t>
        </is>
      </c>
      <c r="B140" s="4" t="n"/>
      <c r="C140" s="4" t="n"/>
    </row>
    <row r="141" ht="36" customHeight="1">
      <c r="A141" s="56" t="inlineStr">
        <is>
          <t>Strategic intelligence reaches the CISO and board on cadence; Structured Analytic Techniques are standard practice; CTI-attributable outcomes are measured; forecast calibration is tracked. The function defends its value at budget review with evidence rather than narrative.</t>
        </is>
      </c>
      <c r="B141" s="6" t="n"/>
      <c r="C141" s="6" t="n"/>
    </row>
    <row r="142" ht="26" customHeight="1">
      <c r="A142" s="5" t="inlineStr">
        <is>
          <t>Strategic Intelligence to Leadership</t>
        </is>
      </c>
      <c r="B142" s="6" t="n"/>
      <c r="C142" s="6" t="n"/>
    </row>
    <row r="143" ht="22" customHeight="1">
      <c r="A143" s="14" t="inlineStr">
        <is>
          <t>Level</t>
        </is>
      </c>
      <c r="B143" s="14" t="inlineStr">
        <is>
          <t>Description</t>
        </is>
      </c>
      <c r="C143" s="14" t="inlineStr">
        <is>
          <t>Quantitative Measure</t>
        </is>
      </c>
    </row>
    <row r="144" ht="42" customHeight="1">
      <c r="A144" s="57" t="inlineStr">
        <is>
          <t>1 — Initial</t>
        </is>
      </c>
      <c r="B144" s="58" t="inlineStr">
        <is>
          <t>CTI does not engage with CISO or senior security leadership on a scheduled basis. Strategic context for the enterprise is absent.</t>
        </is>
      </c>
      <c r="C144" s="58" t="inlineStr">
        <is>
          <t>No strategic briefing cadence.</t>
        </is>
      </c>
    </row>
    <row r="145" ht="42" customHeight="1">
      <c r="A145" s="59" t="inlineStr">
        <is>
          <t>2 — Repeatable</t>
        </is>
      </c>
      <c r="B145" s="60" t="inlineStr">
        <is>
          <t>CTI contributes to the CISO deck occasionally when asked. No standing strategic product.</t>
        </is>
      </c>
      <c r="C145" s="60" t="inlineStr">
        <is>
          <t>Ad-hoc CISO contribution; no recurring strategic brief.</t>
        </is>
      </c>
    </row>
    <row r="146" ht="42" customHeight="1">
      <c r="A146" s="61" t="inlineStr">
        <is>
          <t>3 — Defined</t>
        </is>
      </c>
      <c r="B146" s="62" t="inlineStr">
        <is>
          <t>A quarterly strategic intelligence brief is produced for the CISO and relevant senior leaders (CIO, risk, fraud). Written in non-technical language with clear implications for the enterprise.</t>
        </is>
      </c>
      <c r="C146" s="62" t="inlineStr">
        <is>
          <t>Quarterly strategic brief delivered on schedule.</t>
        </is>
      </c>
    </row>
    <row r="147" ht="42" customHeight="1">
      <c r="A147" s="63" t="inlineStr">
        <is>
          <t>4 — Managed</t>
        </is>
      </c>
      <c r="B147" s="64" t="inlineStr">
        <is>
          <t>Strategic intelligence informs enterprise risk register updates and security-investment decisions. Regulator-adjacent context (CRTC, CCCS, Bill C-26) is synthesized and briefed.</t>
        </is>
      </c>
      <c r="C147" s="64" t="inlineStr">
        <is>
          <t>Strategic brief referenced in risk register changes and investment decisions.</t>
        </is>
      </c>
    </row>
    <row r="148" ht="42" customHeight="1">
      <c r="A148" s="65" t="inlineStr">
        <is>
          <t>5 — Optimized</t>
        </is>
      </c>
      <c r="B148" s="66" t="inlineStr">
        <is>
          <t>CTI is a standing input to annual enterprise strategy and board-level cyber-risk discussions. Strategic products survive scrutiny by external auditors and regulators.</t>
        </is>
      </c>
      <c r="C148" s="66" t="inlineStr">
        <is>
          <t>Standing board-cycle engagement; external review on cadence.</t>
        </is>
      </c>
    </row>
    <row r="150" ht="26" customHeight="1">
      <c r="A150" s="5" t="inlineStr">
        <is>
          <t>Structured Analytic Techniques (SATs)</t>
        </is>
      </c>
      <c r="B150" s="6" t="n"/>
      <c r="C150" s="6" t="n"/>
    </row>
    <row r="151" ht="22" customHeight="1">
      <c r="A151" s="14" t="inlineStr">
        <is>
          <t>Level</t>
        </is>
      </c>
      <c r="B151" s="14" t="inlineStr">
        <is>
          <t>Description</t>
        </is>
      </c>
      <c r="C151" s="14" t="inlineStr">
        <is>
          <t>Quantitative Measure</t>
        </is>
      </c>
    </row>
    <row r="152" ht="42" customHeight="1">
      <c r="A152" s="57" t="inlineStr">
        <is>
          <t>1 — Initial</t>
        </is>
      </c>
      <c r="B152" s="58" t="inlineStr">
        <is>
          <t>Analysts are unfamiliar with Structured Analytic Techniques (Analysis of Competing Hypotheses, Key Assumptions Check, Pre-Mortem, Devil's Advocacy, Red Team Analysis).</t>
        </is>
      </c>
      <c r="C152" s="58" t="inlineStr">
        <is>
          <t>No SAT training; no SAT artifacts.</t>
        </is>
      </c>
    </row>
    <row r="153" ht="42" customHeight="1">
      <c r="A153" s="59" t="inlineStr">
        <is>
          <t>2 — Repeatable</t>
        </is>
      </c>
      <c r="B153" s="60" t="inlineStr">
        <is>
          <t>Analysts are aware of SATs conceptually but rarely apply them in finished products. No expectation of SAT use.</t>
        </is>
      </c>
      <c r="C153" s="60" t="inlineStr">
        <is>
          <t>&lt;10% of major products use a SAT.</t>
        </is>
      </c>
    </row>
    <row r="154" ht="42" customHeight="1">
      <c r="A154" s="61" t="inlineStr">
        <is>
          <t>3 — Defined</t>
        </is>
      </c>
      <c r="B154" s="62" t="inlineStr">
        <is>
          <t>At least one SAT is applied per major product (high-impact assessment, attribution claim, or strategic forecast). Analysts are trained.</t>
        </is>
      </c>
      <c r="C154" s="62" t="inlineStr">
        <is>
          <t>&gt;=80% of major products show explicit SAT application.</t>
        </is>
      </c>
    </row>
    <row r="155" ht="42" customHeight="1">
      <c r="A155" s="63" t="inlineStr">
        <is>
          <t>4 — Managed</t>
        </is>
      </c>
      <c r="B155" s="64" t="inlineStr">
        <is>
          <t>Multiple SATs are in the team's repertoire. SAT selection is guided by the analytic question. Peer review checks for appropriate SAT use.</t>
        </is>
      </c>
      <c r="C155" s="64" t="inlineStr">
        <is>
          <t>Team repertoire &gt;=4 SATs; peer review checklist includes SAT.</t>
        </is>
      </c>
    </row>
    <row r="156" ht="42" customHeight="1">
      <c r="A156" s="65" t="inlineStr">
        <is>
          <t>5 — Optimized</t>
        </is>
      </c>
      <c r="B156" s="66" t="inlineStr">
        <is>
          <t>SATs are a trained competency; cognitive-bias countermeasures are part of the analytic culture. Lessons from SAT-driven decisions feed future products.</t>
        </is>
      </c>
      <c r="C156" s="66" t="inlineStr">
        <is>
          <t>Annual SAT refresher; bias countermeasure tracking in retrospectives.</t>
        </is>
      </c>
    </row>
    <row r="158" ht="26" customHeight="1">
      <c r="A158" s="5" t="inlineStr">
        <is>
          <t>Attributable Outcomes and Impact Metrics</t>
        </is>
      </c>
      <c r="B158" s="6" t="n"/>
      <c r="C158" s="6" t="n"/>
    </row>
    <row r="159" ht="22" customHeight="1">
      <c r="A159" s="14" t="inlineStr">
        <is>
          <t>Level</t>
        </is>
      </c>
      <c r="B159" s="14" t="inlineStr">
        <is>
          <t>Description</t>
        </is>
      </c>
      <c r="C159" s="14" t="inlineStr">
        <is>
          <t>Quantitative Measure</t>
        </is>
      </c>
    </row>
    <row r="160" ht="42" customHeight="1">
      <c r="A160" s="57" t="inlineStr">
        <is>
          <t>1 — Initial</t>
        </is>
      </c>
      <c r="B160" s="58" t="inlineStr">
        <is>
          <t>CTI cannot point to specific detections, hunts, incidents, or risk decisions that were driven by its products.</t>
        </is>
      </c>
      <c r="C160" s="58" t="inlineStr">
        <is>
          <t>No outcome attribution.</t>
        </is>
      </c>
    </row>
    <row r="161" ht="42" customHeight="1">
      <c r="A161" s="59" t="inlineStr">
        <is>
          <t>2 — Repeatable</t>
        </is>
      </c>
      <c r="B161" s="60" t="inlineStr">
        <is>
          <t>A few anecdotes exist ("we caught X because of CTI") but are not tracked or aggregated.</t>
        </is>
      </c>
      <c r="C161" s="60" t="inlineStr">
        <is>
          <t>Anecdotal; not captured systematically.</t>
        </is>
      </c>
    </row>
    <row r="162" ht="42" customHeight="1">
      <c r="A162" s="61" t="inlineStr">
        <is>
          <t>3 — Defined</t>
        </is>
      </c>
      <c r="B162" s="62" t="inlineStr">
        <is>
          <t>An outcome log is maintained: detections, hunts, incidents, risk register changes, and procurement decisions with CTI attribution are captured. Monthly review.</t>
        </is>
      </c>
      <c r="C162" s="62" t="inlineStr">
        <is>
          <t>Outcome log in place; &gt;=5 captured outcomes per quarter.</t>
        </is>
      </c>
    </row>
    <row r="163" ht="42" customHeight="1">
      <c r="A163" s="63" t="inlineStr">
        <is>
          <t>4 — Managed</t>
        </is>
      </c>
      <c r="B163" s="64" t="inlineStr">
        <is>
          <t>Outcome metrics (% of new detections attributable to CTI, MTTR reduction attributed to CTI, fraud $ prevented, vendor changes driven by CTI) are reported quarterly to leadership.</t>
        </is>
      </c>
      <c r="C163" s="64" t="inlineStr">
        <is>
          <t>Outcome KPIs in quarterly leadership pack.</t>
        </is>
      </c>
    </row>
    <row r="164" ht="42" customHeight="1">
      <c r="A164" s="65" t="inlineStr">
        <is>
          <t>5 — Optimized</t>
        </is>
      </c>
      <c r="B164" s="66" t="inlineStr">
        <is>
          <t>Outcome data feeds budget and headcount decisions. CTI function defends its spend with attributable value; investment-versus-outcome ratios are tracked.</t>
        </is>
      </c>
      <c r="C164" s="66" t="inlineStr">
        <is>
          <t>Budget justification uses outcome data; ROI metric published.</t>
        </is>
      </c>
    </row>
    <row r="166" ht="26" customHeight="1">
      <c r="A166" s="5" t="inlineStr">
        <is>
          <t>Forecast Calibration</t>
        </is>
      </c>
      <c r="B166" s="6" t="n"/>
      <c r="C166" s="6" t="n"/>
    </row>
    <row r="167" ht="22" customHeight="1">
      <c r="A167" s="14" t="inlineStr">
        <is>
          <t>Level</t>
        </is>
      </c>
      <c r="B167" s="14" t="inlineStr">
        <is>
          <t>Description</t>
        </is>
      </c>
      <c r="C167" s="14" t="inlineStr">
        <is>
          <t>Quantitative Measure</t>
        </is>
      </c>
    </row>
    <row r="168" ht="42" customHeight="1">
      <c r="A168" s="57" t="inlineStr">
        <is>
          <t>1 — Initial</t>
        </is>
      </c>
      <c r="B168" s="58" t="inlineStr">
        <is>
          <t>Forecasts are not tracked. Analysts make judgments with confidence labels but there is no retrospective check on whether they were right.</t>
        </is>
      </c>
      <c r="C168" s="58" t="inlineStr">
        <is>
          <t>No forecast log.</t>
        </is>
      </c>
    </row>
    <row r="169" ht="42" customHeight="1">
      <c r="A169" s="59" t="inlineStr">
        <is>
          <t>2 — Repeatable</t>
        </is>
      </c>
      <c r="B169" s="60" t="inlineStr">
        <is>
          <t>Occasional retrospective on major assessments but no systematic tracking of calibration.</t>
        </is>
      </c>
      <c r="C169" s="60" t="inlineStr">
        <is>
          <t>Ad-hoc retrospective only.</t>
        </is>
      </c>
    </row>
    <row r="170" ht="42" customHeight="1">
      <c r="A170" s="61" t="inlineStr">
        <is>
          <t>3 — Defined</t>
        </is>
      </c>
      <c r="B170" s="62" t="inlineStr">
        <is>
          <t>All forecasts with confidence statements are logged with resolution criteria. Resolved forecasts are reviewed quarterly.</t>
        </is>
      </c>
      <c r="C170" s="62" t="inlineStr">
        <is>
          <t>Forecast log &gt;=90% of finished products; quarterly review.</t>
        </is>
      </c>
    </row>
    <row r="171" ht="42" customHeight="1">
      <c r="A171" s="63" t="inlineStr">
        <is>
          <t>4 — Managed</t>
        </is>
      </c>
      <c r="B171" s="64" t="inlineStr">
        <is>
          <t>Calibration score (Brier score or equivalent) is computed for the analytic team. Calibration errors drive retraining or process changes.</t>
        </is>
      </c>
      <c r="C171" s="64" t="inlineStr">
        <is>
          <t>Calibration metric tracked per analyst / team.</t>
        </is>
      </c>
    </row>
    <row r="172" ht="42" customHeight="1">
      <c r="A172" s="65" t="inlineStr">
        <is>
          <t>5 — Optimized</t>
        </is>
      </c>
      <c r="B172" s="66" t="inlineStr">
        <is>
          <t>Calibration is reported alongside output metrics. Team targets a demonstrable improvement in calibration year-over-year.</t>
        </is>
      </c>
      <c r="C172" s="66" t="inlineStr">
        <is>
          <t>YoY calibration improvement target; reported in annual review.</t>
        </is>
      </c>
    </row>
    <row r="174" ht="16" customHeight="1"/>
    <row r="175" ht="28" customHeight="1">
      <c r="A175" s="32" t="inlineStr">
        <is>
          <t xml:space="preserve">  ENRICHMENT DIMENSIONS</t>
        </is>
      </c>
      <c r="B175" s="33" t="n"/>
      <c r="C175" s="33" t="n"/>
    </row>
    <row r="176" ht="30" customHeight="1">
      <c r="A176" s="32" t="inlineStr">
        <is>
          <t xml:space="preserve">  Tradecraft and Analyst Capability</t>
        </is>
      </c>
      <c r="B176" s="33" t="n"/>
      <c r="C176" s="33" t="n"/>
    </row>
    <row r="177" ht="36" customHeight="1">
      <c r="A177" s="67" t="inlineStr">
        <is>
          <t>Cross-cutting analytic quality factors. These contribute to the overall score but do not affect tier determination. A low score here predicts fragility at higher tiers — structural integration without tradecraft is brittle.</t>
        </is>
      </c>
      <c r="B177" s="29" t="n"/>
      <c r="C177" s="29" t="n"/>
    </row>
    <row r="178" ht="26" customHeight="1">
      <c r="A178" s="28" t="inlineStr">
        <is>
          <t>ICD 203 Analytic Standards Adherence</t>
        </is>
      </c>
      <c r="B178" s="29" t="n"/>
      <c r="C178" s="29" t="n"/>
    </row>
    <row r="179" ht="22" customHeight="1">
      <c r="A179" s="14" t="inlineStr">
        <is>
          <t>Level</t>
        </is>
      </c>
      <c r="B179" s="14" t="inlineStr">
        <is>
          <t>Description</t>
        </is>
      </c>
      <c r="C179" s="14" t="inlineStr">
        <is>
          <t>Quantitative Measure</t>
        </is>
      </c>
    </row>
    <row r="180" ht="42" customHeight="1">
      <c r="A180" s="57" t="inlineStr">
        <is>
          <t>1 — Initial</t>
        </is>
      </c>
      <c r="B180" s="58" t="inlineStr">
        <is>
          <t>Team is unfamiliar with ICD 203's nine analytic tradecraft standards.</t>
        </is>
      </c>
      <c r="C180" s="58" t="inlineStr">
        <is>
          <t>No ICD 203 training.</t>
        </is>
      </c>
    </row>
    <row r="181" ht="42" customHeight="1">
      <c r="A181" s="59" t="inlineStr">
        <is>
          <t>2 — Repeatable</t>
        </is>
      </c>
      <c r="B181" s="60" t="inlineStr">
        <is>
          <t>Team lead is aware of ICD 203 but has not cascaded training to analysts.</t>
        </is>
      </c>
      <c r="C181" s="60" t="inlineStr">
        <is>
          <t>Awareness at lead level only.</t>
        </is>
      </c>
    </row>
    <row r="182" ht="42" customHeight="1">
      <c r="A182" s="61" t="inlineStr">
        <is>
          <t>3 — Defined</t>
        </is>
      </c>
      <c r="B182" s="62" t="inlineStr">
        <is>
          <t>All analysts have received ICD 203 training (or equivalent SANS playbook-grounded training). Products are spot-checked for adherence.</t>
        </is>
      </c>
      <c r="C182" s="62" t="inlineStr">
        <is>
          <t>100% analyst training; spot-check cadence.</t>
        </is>
      </c>
    </row>
    <row r="183" ht="42" customHeight="1">
      <c r="A183" s="63" t="inlineStr">
        <is>
          <t>4 — Managed</t>
        </is>
      </c>
      <c r="B183" s="64" t="inlineStr">
        <is>
          <t>Peer review checklist explicitly references ICD 203 standards 1-7 as pass gates on finished products.</t>
        </is>
      </c>
      <c r="C183" s="64" t="inlineStr">
        <is>
          <t>Checklist uses ICD 203 standards 1-7 as gates.</t>
        </is>
      </c>
    </row>
    <row r="184" ht="42" customHeight="1">
      <c r="A184" s="65" t="inlineStr">
        <is>
          <t>5 — Optimized</t>
        </is>
      </c>
      <c r="B184" s="66" t="inlineStr">
        <is>
          <t>ICD 203 standard 8 (accurate judgments over time) is measured via forecast calibration. Standard 9 (effective visuals) is reviewed in peer review.</t>
        </is>
      </c>
      <c r="C184" s="66" t="inlineStr">
        <is>
          <t>All 9 standards reviewed or measured.</t>
        </is>
      </c>
    </row>
    <row r="186" ht="26" customHeight="1">
      <c r="A186" s="28" t="inlineStr">
        <is>
          <t>Framework Literacy (ATT&amp;CK, Diamond, Kill Chain)</t>
        </is>
      </c>
      <c r="B186" s="29" t="n"/>
      <c r="C186" s="29" t="n"/>
    </row>
    <row r="187" ht="22" customHeight="1">
      <c r="A187" s="14" t="inlineStr">
        <is>
          <t>Level</t>
        </is>
      </c>
      <c r="B187" s="14" t="inlineStr">
        <is>
          <t>Description</t>
        </is>
      </c>
      <c r="C187" s="14" t="inlineStr">
        <is>
          <t>Quantitative Measure</t>
        </is>
      </c>
    </row>
    <row r="188" ht="42" customHeight="1">
      <c r="A188" s="57" t="inlineStr">
        <is>
          <t>1 — Initial</t>
        </is>
      </c>
      <c r="B188" s="58" t="inlineStr">
        <is>
          <t>Analysts cannot confidently use MITRE ATT&amp;CK, the Diamond Model, or the Cyber Kill Chain in analysis.</t>
        </is>
      </c>
      <c r="C188" s="58" t="inlineStr">
        <is>
          <t>&lt;50% analyst fluency.</t>
        </is>
      </c>
    </row>
    <row r="189" ht="42" customHeight="1">
      <c r="A189" s="59" t="inlineStr">
        <is>
          <t>2 — Repeatable</t>
        </is>
      </c>
      <c r="B189" s="60" t="inlineStr">
        <is>
          <t>Analysts reference ATT&amp;CK IDs occasionally but do not use Diamond or Kill Chain in products.</t>
        </is>
      </c>
      <c r="C189" s="60" t="inlineStr">
        <is>
          <t>ATT&amp;CK referenced; other frameworks rare.</t>
        </is>
      </c>
    </row>
    <row r="190" ht="42" customHeight="1">
      <c r="A190" s="61" t="inlineStr">
        <is>
          <t>3 — Defined</t>
        </is>
      </c>
      <c r="B190" s="62" t="inlineStr">
        <is>
          <t>All finished products involving adversary behavior use ATT&amp;CK tactic
 and technique IDs. Diamond and Kill Chain applied where appropriate.</t>
        </is>
      </c>
      <c r="C190" s="62" t="inlineStr">
        <is>
          <t>&gt;=90% of behavioral products use ATT&amp;CK.</t>
        </is>
      </c>
    </row>
    <row r="191" ht="42" customHeight="1">
      <c r="A191" s="63" t="inlineStr">
        <is>
          <t>4 — Managed</t>
        </is>
      </c>
      <c r="B191" s="64" t="inlineStr">
        <is>
          <t>ATT&amp;CK Navigator layers are produced for major campaigns / actors tracked. Diamond Model diagrams appear in incident and campaign reports.</t>
        </is>
      </c>
      <c r="C191" s="64" t="inlineStr">
        <is>
          <t>ATT&amp;CK layers published; Diamond diagrams in use.</t>
        </is>
      </c>
    </row>
    <row r="192" ht="42" customHeight="1">
      <c r="A192" s="65" t="inlineStr">
        <is>
          <t>5 — Optimized</t>
        </is>
      </c>
      <c r="B192" s="66" t="inlineStr">
        <is>
          <t>Framework outputs feed detection coverage mapping and hunt prioritization. ATT&amp;CK heatmap is a living view linked to PIRs.</t>
        </is>
      </c>
      <c r="C192" s="66" t="inlineStr">
        <is>
          <t>Live ATT&amp;CK coverage heatmap linked to PIRs.</t>
        </is>
      </c>
    </row>
    <row r="194" ht="26" customHeight="1">
      <c r="A194" s="28" t="inlineStr">
        <is>
          <t>Peer Review Process</t>
        </is>
      </c>
      <c r="B194" s="29" t="n"/>
      <c r="C194" s="29" t="n"/>
    </row>
    <row r="195" ht="22" customHeight="1">
      <c r="A195" s="14" t="inlineStr">
        <is>
          <t>Level</t>
        </is>
      </c>
      <c r="B195" s="14" t="inlineStr">
        <is>
          <t>Description</t>
        </is>
      </c>
      <c r="C195" s="14" t="inlineStr">
        <is>
          <t>Quantitative Measure</t>
        </is>
      </c>
    </row>
    <row r="196" ht="42" customHeight="1">
      <c r="A196" s="57" t="inlineStr">
        <is>
          <t>1 — Initial</t>
        </is>
      </c>
      <c r="B196" s="58" t="inlineStr">
        <is>
          <t>No peer review. Analysts self-publish finished products.</t>
        </is>
      </c>
      <c r="C196" s="58" t="inlineStr">
        <is>
          <t>Zero peer review.</t>
        </is>
      </c>
    </row>
    <row r="197" ht="42" customHeight="1">
      <c r="A197" s="59" t="inlineStr">
        <is>
          <t>2 — Repeatable</t>
        </is>
      </c>
      <c r="B197" s="60" t="inlineStr">
        <is>
          <t>Informal peer review is "happening" but not documented and not universally applied.</t>
        </is>
      </c>
      <c r="C197" s="60" t="inlineStr">
        <is>
          <t>&lt;50% of products peer-reviewed.</t>
        </is>
      </c>
    </row>
    <row r="198" ht="42" customHeight="1">
      <c r="A198" s="61" t="inlineStr">
        <is>
          <t>3 — Defined</t>
        </is>
      </c>
      <c r="B198" s="62" t="inlineStr">
        <is>
          <t>All finished products receive at least one peer review before
 release. Reviewer is named; review criteria are documented.</t>
        </is>
      </c>
      <c r="C198" s="62" t="inlineStr">
        <is>
          <t>&gt;=90% reviewed; named reviewer; written criteria.</t>
        </is>
      </c>
    </row>
    <row r="199" ht="42" customHeight="1">
      <c r="A199" s="63" t="inlineStr">
        <is>
          <t>4 — Managed</t>
        </is>
      </c>
      <c r="B199" s="64" t="inlineStr">
        <is>
          <t>Review uses a checklist tied to ICD 203, template adherence, calibrated language, and source rating. Review turnaround is tracked.</t>
        </is>
      </c>
      <c r="C199" s="64" t="inlineStr">
        <is>
          <t>Checklist in use; review SLA tracked.</t>
        </is>
      </c>
    </row>
    <row r="200" ht="42" customHeight="1">
      <c r="A200" s="65" t="inlineStr">
        <is>
          <t>5 — Optimized</t>
        </is>
      </c>
      <c r="B200" s="66" t="inlineStr">
        <is>
          <t>Peer review is a learning loop: common review findings feed training and template improvements. Cross-team review with detection engineering or adjacent CTI teams happens on cadence.</t>
        </is>
      </c>
      <c r="C200" s="66" t="inlineStr">
        <is>
          <t>Review findings drive training; cross-team review cadence.</t>
        </is>
      </c>
    </row>
    <row r="202" ht="30" customHeight="1">
      <c r="A202" s="32" t="inlineStr">
        <is>
          <t xml:space="preserve">  Governance, Legal, Ethics, and Improvement</t>
        </is>
      </c>
      <c r="B202" s="33" t="n"/>
      <c r="C202" s="33" t="n"/>
    </row>
    <row r="203" ht="36" customHeight="1">
      <c r="A203" s="67" t="inlineStr">
        <is>
          <t>Program hygiene that keeps the function defensible to regulators, partners, and internal audit — and ensures it improves over time rather than drifting. Contributes to overall score but not to tier determination.</t>
        </is>
      </c>
      <c r="B203" s="29" t="n"/>
      <c r="C203" s="29" t="n"/>
    </row>
    <row r="204" ht="26" customHeight="1">
      <c r="A204" s="28" t="inlineStr">
        <is>
          <t>Legal and Regulatory Review (PIPEDA, CASL, CRTC)</t>
        </is>
      </c>
      <c r="B204" s="29" t="n"/>
      <c r="C204" s="29" t="n"/>
    </row>
    <row r="205" ht="22" customHeight="1">
      <c r="A205" s="14" t="inlineStr">
        <is>
          <t>Level</t>
        </is>
      </c>
      <c r="B205" s="14" t="inlineStr">
        <is>
          <t>Description</t>
        </is>
      </c>
      <c r="C205" s="14" t="inlineStr">
        <is>
          <t>Quantitative Measure</t>
        </is>
      </c>
    </row>
    <row r="206" ht="42" customHeight="1">
      <c r="A206" s="57" t="inlineStr">
        <is>
          <t>1 — Initial</t>
        </is>
      </c>
      <c r="B206" s="58" t="inlineStr">
        <is>
          <t>No review of CTI sources or techniques against Canadian legal / regulatory constraints (PIPEDA, CASL, CRTC, Bill C-26 CCSPA).</t>
        </is>
      </c>
      <c r="C206" s="58" t="inlineStr">
        <is>
          <t>No legal review.</t>
        </is>
      </c>
    </row>
    <row r="207" ht="42" customHeight="1">
      <c r="A207" s="59" t="inlineStr">
        <is>
          <t>2 — Repeatable</t>
        </is>
      </c>
      <c r="B207" s="60" t="inlineStr">
        <is>
          <t>Team is aware of key constraints; individual analysts self-check but no formal process.</t>
        </is>
      </c>
      <c r="C207" s="60" t="inlineStr">
        <is>
          <t>Awareness-level only.</t>
        </is>
      </c>
    </row>
    <row r="208" ht="42" customHeight="1">
      <c r="A208" s="61" t="inlineStr">
        <is>
          <t>3 — Defined</t>
        </is>
      </c>
      <c r="B208" s="62" t="inlineStr">
        <is>
          <t>Sources are screened against PIPEDA for collection of personal information. Active-collection techniques (e.g., interacting with criminal forums) have documented legal sign-off.</t>
        </is>
      </c>
      <c r="C208" s="62" t="inlineStr">
        <is>
          <t>Source screening documented; active-collection sign-off on file.</t>
        </is>
      </c>
    </row>
    <row r="209" ht="42" customHeight="1">
      <c r="A209" s="63" t="inlineStr">
        <is>
          <t>4 — Managed</t>
        </is>
      </c>
      <c r="B209" s="64" t="inlineStr">
        <is>
          <t>Annual review with privacy/legal partners on CTI practices. Passive versus active collection posture is written and approved.</t>
        </is>
      </c>
      <c r="C209" s="64" t="inlineStr">
        <is>
          <t>Annual legal review; written collection posture.</t>
        </is>
      </c>
    </row>
    <row r="210" ht="42" customHeight="1">
      <c r="A210" s="65" t="inlineStr">
        <is>
          <t>5 — Optimized</t>
        </is>
      </c>
      <c r="B210" s="66" t="inlineStr">
        <is>
          <t>Regulatory alignment tracked over time (Bill C-26 CCSPA obligations, CRTC cybersecurity expectations). CTI contributes to breach- notification and regulatory reporting workflows.</t>
        </is>
      </c>
      <c r="C210" s="66" t="inlineStr">
        <is>
          <t>CTI named in breach-notification workflow; regulatory tracking table maintained.</t>
        </is>
      </c>
    </row>
    <row r="212" ht="26" customHeight="1">
      <c r="A212" s="28" t="inlineStr">
        <is>
          <t>External Sharing and Trust-Group Participation</t>
        </is>
      </c>
      <c r="B212" s="29" t="n"/>
      <c r="C212" s="29" t="n"/>
    </row>
    <row r="213" ht="22" customHeight="1">
      <c r="A213" s="14" t="inlineStr">
        <is>
          <t>Level</t>
        </is>
      </c>
      <c r="B213" s="14" t="inlineStr">
        <is>
          <t>Description</t>
        </is>
      </c>
      <c r="C213" s="14" t="inlineStr">
        <is>
          <t>Quantitative Measure</t>
        </is>
      </c>
    </row>
    <row r="214" ht="42" customHeight="1">
      <c r="A214" s="57" t="inlineStr">
        <is>
          <t>1 — Initial</t>
        </is>
      </c>
      <c r="B214" s="58" t="inlineStr">
        <is>
          <t>Team does not participate in any external sharing community.</t>
        </is>
      </c>
      <c r="C214" s="58" t="inlineStr">
        <is>
          <t>No memberships.</t>
        </is>
      </c>
    </row>
    <row r="215" ht="42" customHeight="1">
      <c r="A215" s="59" t="inlineStr">
        <is>
          <t>2 — Repeatable</t>
        </is>
      </c>
      <c r="B215" s="60" t="inlineStr">
        <is>
          <t>Passive membership in one or two groups (CCTX, vendor ISAC, etc.) but no active sharing.</t>
        </is>
      </c>
      <c r="C215" s="60" t="inlineStr">
        <is>
          <t>1-2 memberships; no shares in last 12 months.</t>
        </is>
      </c>
    </row>
    <row r="216" ht="42" customHeight="1">
      <c r="A216" s="61" t="inlineStr">
        <is>
          <t>3 — Defined</t>
        </is>
      </c>
      <c r="B216" s="62" t="inlineStr">
        <is>
          <t>Active membership in CCTX and/or relevant trust groups (carriers, CCCS partnership). Sharing occurs on a cadence; TLP and sharing constraints are understood and applied.</t>
        </is>
      </c>
      <c r="C216" s="62" t="inlineStr">
        <is>
          <t>&gt;=1 active sharing community; shares per quarter.</t>
        </is>
      </c>
    </row>
    <row r="217" ht="42" customHeight="1">
      <c r="A217" s="63" t="inlineStr">
        <is>
          <t>4 — Managed</t>
        </is>
      </c>
      <c r="B217" s="64" t="inlineStr">
        <is>
          <t>Bi-directional sharing is material: CTI contributes actor TTPs, receives peer intelligence, and attributes downstream value from partner contributions.</t>
        </is>
      </c>
      <c r="C217" s="64" t="inlineStr">
        <is>
          <t>&gt;=1 share per month; partner-attributable value captured.</t>
        </is>
      </c>
    </row>
    <row r="218" ht="42" customHeight="1">
      <c r="A218" s="65" t="inlineStr">
        <is>
          <t>5 — Optimized</t>
        </is>
      </c>
      <c r="B218" s="66" t="inlineStr">
        <is>
          <t>CTI is a recognized contributor to telco-sector intelligence communities; leadership role (working group chair, framework author, or similar) held.</t>
        </is>
      </c>
      <c r="C218" s="66" t="inlineStr">
        <is>
          <t>Working-group leadership role; sector-recognized contributions.</t>
        </is>
      </c>
    </row>
    <row r="220" ht="26" customHeight="1">
      <c r="A220" s="28" t="inlineStr">
        <is>
          <t>Continuous Improvement and Self-Assessment</t>
        </is>
      </c>
      <c r="B220" s="29" t="n"/>
      <c r="C220" s="29" t="n"/>
    </row>
    <row r="221" ht="22" customHeight="1">
      <c r="A221" s="14" t="inlineStr">
        <is>
          <t>Level</t>
        </is>
      </c>
      <c r="B221" s="14" t="inlineStr">
        <is>
          <t>Description</t>
        </is>
      </c>
      <c r="C221" s="14" t="inlineStr">
        <is>
          <t>Quantitative Measure</t>
        </is>
      </c>
    </row>
    <row r="222" ht="42" customHeight="1">
      <c r="A222" s="57" t="inlineStr">
        <is>
          <t>1 — Initial</t>
        </is>
      </c>
      <c r="B222" s="58" t="inlineStr">
        <is>
          <t>No self-assessment cadence. The team does not measure its own maturity.</t>
        </is>
      </c>
      <c r="C222" s="58" t="inlineStr">
        <is>
          <t>No assessment in last 24 months.</t>
        </is>
      </c>
    </row>
    <row r="223" ht="42" customHeight="1">
      <c r="A223" s="59" t="inlineStr">
        <is>
          <t>2 — Repeatable</t>
        </is>
      </c>
      <c r="B223" s="60" t="inlineStr">
        <is>
          <t>A prior maturity assessment was done once and not repeated.</t>
        </is>
      </c>
      <c r="C223" s="60" t="inlineStr">
        <is>
          <t>One-off assessment; no cadence.</t>
        </is>
      </c>
    </row>
    <row r="224" ht="42" customHeight="1">
      <c r="A224" s="61" t="inlineStr">
        <is>
          <t>3 — Defined</t>
        </is>
      </c>
      <c r="B224" s="62" t="inlineStr">
        <is>
          <t>TIBMM (or equivalent) self-assessment runs at least annually. Gaps
 are captured and tracked.</t>
        </is>
      </c>
      <c r="C224" s="62" t="inlineStr">
        <is>
          <t>Annual TIBMM run; gap list maintained.</t>
        </is>
      </c>
    </row>
    <row r="225" ht="42" customHeight="1">
      <c r="A225" s="63" t="inlineStr">
        <is>
          <t>4 — Managed</t>
        </is>
      </c>
      <c r="B225" s="64" t="inlineStr">
        <is>
          <t>Bi-annual full TIBMM assessment plus quarterly KPI check-ins. Gaps
 tie to a roadmap with owners and target dates.</t>
        </is>
      </c>
      <c r="C225" s="64" t="inlineStr">
        <is>
          <t>Bi-annual TIBMM + quarterly KPIs; tracked roadmap.</t>
        </is>
      </c>
    </row>
    <row r="226" ht="42" customHeight="1">
      <c r="A226" s="65" t="inlineStr">
        <is>
          <t>5 — Optimized</t>
        </is>
      </c>
      <c r="B226" s="66" t="inlineStr">
        <is>
          <t>TIBMM scores are reported to leadership alongside operational KPIs. Year-over-year trend is visible; improvement targets are committed.</t>
        </is>
      </c>
      <c r="C226" s="66" t="inlineStr">
        <is>
          <t>YoY trend reported; improvement target committed.</t>
        </is>
      </c>
    </row>
  </sheetData>
  <mergeCells count="43">
    <mergeCell ref="A177:C177"/>
    <mergeCell ref="A90:C90"/>
    <mergeCell ref="A108:C108"/>
    <mergeCell ref="A74:C74"/>
    <mergeCell ref="A56:C56"/>
    <mergeCell ref="A158:C158"/>
    <mergeCell ref="A3:C3"/>
    <mergeCell ref="A204:C204"/>
    <mergeCell ref="A175:C175"/>
    <mergeCell ref="A203:C203"/>
    <mergeCell ref="A116:C116"/>
    <mergeCell ref="A5:C5"/>
    <mergeCell ref="A194:C194"/>
    <mergeCell ref="A14:C14"/>
    <mergeCell ref="A141:C141"/>
    <mergeCell ref="A22:C22"/>
    <mergeCell ref="A150:C150"/>
    <mergeCell ref="A106:C106"/>
    <mergeCell ref="A140:C140"/>
    <mergeCell ref="A4:C4"/>
    <mergeCell ref="A38:C38"/>
    <mergeCell ref="A72:C72"/>
    <mergeCell ref="A202:C202"/>
    <mergeCell ref="A220:C220"/>
    <mergeCell ref="A40:C40"/>
    <mergeCell ref="A176:C176"/>
    <mergeCell ref="A30:C30"/>
    <mergeCell ref="A39:C39"/>
    <mergeCell ref="A186:C186"/>
    <mergeCell ref="A166:C166"/>
    <mergeCell ref="A48:C48"/>
    <mergeCell ref="A73:C73"/>
    <mergeCell ref="A64:C64"/>
    <mergeCell ref="A82:C82"/>
    <mergeCell ref="A98:C98"/>
    <mergeCell ref="A142:C142"/>
    <mergeCell ref="A107:C107"/>
    <mergeCell ref="A1:C1"/>
    <mergeCell ref="A132:C132"/>
    <mergeCell ref="A178:C178"/>
    <mergeCell ref="A6:C6"/>
    <mergeCell ref="A124:C124"/>
    <mergeCell ref="A212:C212"/>
  </mergeCells>
  <pageMargins left="0.75" right="0.75" top="1" bottom="1" header="0.5" footer="0.5"/>
</worksheet>
</file>

<file path=xl/worksheets/sheet7.xml><?xml version="1.0" encoding="utf-8"?>
<worksheet xmlns="http://schemas.openxmlformats.org/spreadsheetml/2006/main">
  <sheetPr>
    <tabColor rgb="002D3E50"/>
    <outlinePr summaryBelow="1" summaryRight="1"/>
    <pageSetUpPr/>
  </sheetPr>
  <dimension ref="A1:E62"/>
  <sheetViews>
    <sheetView workbookViewId="0">
      <pane ySplit="4" topLeftCell="A5" activePane="bottomLeft" state="frozen"/>
      <selection pane="bottomLeft" activeCell="A1" sqref="A1"/>
    </sheetView>
  </sheetViews>
  <sheetFormatPr baseColWidth="8" defaultRowHeight="15"/>
  <cols>
    <col width="3" customWidth="1" min="1" max="1"/>
    <col width="26" customWidth="1" min="2" max="2"/>
    <col width="22" customWidth="1" min="3" max="3"/>
    <col width="85" customWidth="1" min="4" max="4"/>
    <col width="3" customWidth="1" min="5" max="5"/>
  </cols>
  <sheetData>
    <row r="1" ht="48" customHeight="1">
      <c r="A1" s="1" t="inlineStr">
        <is>
          <t xml:space="preserve">  TIBMM Glossary</t>
        </is>
      </c>
      <c r="B1" s="2" t="n"/>
      <c r="C1" s="2" t="n"/>
      <c r="D1" s="2" t="n"/>
      <c r="E1" s="2" t="n"/>
    </row>
    <row r="2" ht="24" customHeight="1">
      <c r="A2" s="3" t="inlineStr">
        <is>
          <t xml:space="preserve">  Definitions of terms referenced in the rubric and assessment. Use this tab if any term in a question is unfamiliar.</t>
        </is>
      </c>
      <c r="B2" s="4" t="n"/>
      <c r="C2" s="4" t="n"/>
      <c r="D2" s="4" t="n"/>
      <c r="E2" s="4" t="n"/>
    </row>
    <row r="4" ht="26" customHeight="1">
      <c r="B4" s="14" t="inlineStr">
        <is>
          <t>Term</t>
        </is>
      </c>
      <c r="C4" s="14" t="inlineStr">
        <is>
          <t>Category</t>
        </is>
      </c>
      <c r="D4" s="14" t="inlineStr">
        <is>
          <t>Definition</t>
        </is>
      </c>
    </row>
    <row r="5" ht="24" customHeight="1">
      <c r="B5" s="68" t="inlineStr">
        <is>
          <t xml:space="preserve">  Direction</t>
        </is>
      </c>
      <c r="C5" s="69" t="n"/>
      <c r="D5" s="69" t="n"/>
    </row>
    <row r="6" ht="45" customHeight="1">
      <c r="B6" s="17" t="inlineStr">
        <is>
          <t>PIR</t>
        </is>
      </c>
      <c r="C6" s="26" t="inlineStr">
        <is>
          <t>Direction</t>
        </is>
      </c>
      <c r="D6" s="18" t="inlineStr">
        <is>
          <t>Priority Intelligence Requirement. A documented question that a stakeholder needs CTI to answer on a recurring basis. PIRs drive what CTI collects, analyzes, and produces. A mature CTI function has 6-12 active PIRs each tied to a named stakeholder and a business question.</t>
        </is>
      </c>
    </row>
    <row r="7" ht="30" customHeight="1">
      <c r="B7" s="17" t="inlineStr">
        <is>
          <t>RFI</t>
        </is>
      </c>
      <c r="C7" s="26" t="inlineStr">
        <is>
          <t>Direction</t>
        </is>
      </c>
      <c r="D7" s="18" t="inlineStr">
        <is>
          <t>Request for Information. A stakeholder-initiated ad-hoc question outside the standing PIR set (e.g., "what do we know about actor X?").</t>
        </is>
      </c>
    </row>
    <row r="8" ht="60" customHeight="1">
      <c r="B8" s="17" t="inlineStr">
        <is>
          <t>SIR</t>
        </is>
      </c>
      <c r="C8" s="26" t="inlineStr">
        <is>
          <t>Direction</t>
        </is>
      </c>
      <c r="D8" s="18" t="inlineStr">
        <is>
          <t>Specific Intelligence Requirement. A narrower decomposition of a PIR into one or more concrete, collectable questions. Example: PIR "What ransomware groups target Canadian telecom?" decomposes into SIRs like "Which ransomware groups have publicly claimed Canadian telecom victims in the last 12 months?"</t>
        </is>
      </c>
    </row>
    <row r="9" ht="24" customHeight="1">
      <c r="B9" s="68" t="inlineStr">
        <is>
          <t xml:space="preserve">  Product Structure</t>
        </is>
      </c>
      <c r="C9" s="69" t="n"/>
      <c r="D9" s="69" t="n"/>
    </row>
    <row r="10" ht="60" customHeight="1">
      <c r="B10" s="17" t="inlineStr">
        <is>
          <t>BLUF</t>
        </is>
      </c>
      <c r="C10" s="26" t="inlineStr">
        <is>
          <t>Product Structure</t>
        </is>
      </c>
      <c r="D10" s="18" t="inlineStr">
        <is>
          <t>Bottom Line Up Front. The intelligence-writing convention that places the key analytic judgment and recommendation in the first paragraph, before any background. Codified in the SANS Intelligence Analyst's Playbook. Distinct from an executive summary: BLUF is the judgment itself, not a preview.</t>
        </is>
      </c>
    </row>
    <row r="11" ht="24" customHeight="1">
      <c r="B11" s="68" t="inlineStr">
        <is>
          <t xml:space="preserve">  Tradecraft</t>
        </is>
      </c>
      <c r="C11" s="69" t="n"/>
      <c r="D11" s="69" t="n"/>
    </row>
    <row r="12" ht="45" customHeight="1">
      <c r="B12" s="17" t="inlineStr">
        <is>
          <t>ACH</t>
        </is>
      </c>
      <c r="C12" s="26" t="inlineStr">
        <is>
          <t>Tradecraft</t>
        </is>
      </c>
      <c r="D12" s="18" t="inlineStr">
        <is>
          <t>Analysis of Competing Hypotheses. Richards Heuer's 8-step SAT that evaluates multiple explanations against the same evidence simultaneously, looking for the hypothesis least inconsistent with the evidence (rather than the one most consistent). Designed to combat confirmation bias.</t>
        </is>
      </c>
    </row>
    <row r="13" ht="60" customHeight="1">
      <c r="B13" s="17" t="inlineStr">
        <is>
          <t>Admiralty Code / NATO Source Rating</t>
        </is>
      </c>
      <c r="C13" s="26" t="inlineStr">
        <is>
          <t>Tradecraft</t>
        </is>
      </c>
      <c r="D13" s="18" t="inlineStr">
        <is>
          <t>A two-dimensional source and information evaluation system. Source reliability is rated A (completely reliable) through F (cannot be judged); information credibility is rated 1 (confirmed) through 6 (cannot be judged). Source and information are rated independently; a piece of intelligence might be "B2" (usually reliable source, probably true).</t>
        </is>
      </c>
    </row>
    <row r="14" ht="60" customHeight="1">
      <c r="B14" s="17" t="inlineStr">
        <is>
          <t>Calibrated Probability Language</t>
        </is>
      </c>
      <c r="C14" s="26" t="inlineStr">
        <is>
          <t>Tradecraft</t>
        </is>
      </c>
      <c r="D14" s="18" t="inlineStr">
        <is>
          <t>A fixed probability scale used to express confidence. The ODNI 8-level scale: almost certain (93-99%), very likely (85-92%), likely (70-84%), probable (55-69%), roughly even (45-54%), unlikely (15-44%), very unlikely (3-14%), remote (1-2%). The point is to prevent "likely" meaning 55% to one reader and 85% to another. Never use 100% or 0%.</t>
        </is>
      </c>
    </row>
    <row r="15" ht="45" customHeight="1">
      <c r="B15" s="17" t="inlineStr">
        <is>
          <t>CRAAP</t>
        </is>
      </c>
      <c r="C15" s="26" t="inlineStr">
        <is>
          <t>Tradecraft</t>
        </is>
      </c>
      <c r="D15" s="18" t="inlineStr">
        <is>
          <t>Currency, Relevance, Authority, Accuracy, Purpose. A lightweight framework for evaluating a source of intelligence information. Currency: how recent? Relevance: does it address the question? Authority: who produced it? Accuracy: is it verifiable? Purpose: why was it published?</t>
        </is>
      </c>
    </row>
    <row r="16" ht="90" customHeight="1">
      <c r="B16" s="17" t="inlineStr">
        <is>
          <t>ICD 203</t>
        </is>
      </c>
      <c r="C16" s="26" t="inlineStr">
        <is>
          <t>Tradecraft</t>
        </is>
      </c>
      <c r="D16" s="18" t="inlineStr">
        <is>
          <t>Intelligence Community Directive 203 (ODNI, Jan 2015, amended 2022). Defines nine analytic tradecraft standards governing US IC finished intelligence: (1) describe source quality, (2) express uncertainty with calibrated language, (3) distinguish information from assumption, (4) incorporate analysis of alternatives, (5) demonstrate customer relevance, (6) use clear argumentation, (7) explain change or consistency, (8) make accurate judgments, (9) use effective visuals. TIBMM adopts these as the tradecraft floor for product-producing activity.</t>
        </is>
      </c>
    </row>
    <row r="17" ht="60" customHeight="1">
      <c r="B17" s="17" t="inlineStr">
        <is>
          <t>SAT</t>
        </is>
      </c>
      <c r="C17" s="26" t="inlineStr">
        <is>
          <t>Tradecraft</t>
        </is>
      </c>
      <c r="D17" s="18" t="inlineStr">
        <is>
          <t>Structured Analytic Technique. Formal methods for combating cognitive bias in analysis. Common SATs: Analysis of Competing Hypotheses (ACH), Key Assumptions Check, Pre-Mortem, Devil's Advocacy, Red Team Analysis. TIBMM expects at least one SAT applied to every major product at Tier 4.</t>
        </is>
      </c>
    </row>
    <row r="18" ht="24" customHeight="1">
      <c r="B18" s="68" t="inlineStr">
        <is>
          <t xml:space="preserve">  Collection</t>
        </is>
      </c>
      <c r="C18" s="69" t="n"/>
      <c r="D18" s="69" t="n"/>
    </row>
    <row r="19" ht="60" customHeight="1">
      <c r="B19" s="17" t="inlineStr">
        <is>
          <t>CMF</t>
        </is>
      </c>
      <c r="C19" s="26" t="inlineStr">
        <is>
          <t>Collection</t>
        </is>
      </c>
      <c r="D19" s="18" t="inlineStr">
        <is>
          <t>Collection Management Framework. The document that maps each intelligence source (OSINT feed, commercial feed, ISAC, vendor portal, internal telemetry) to the PIRs and SIRs it is intended to support. The CMF makes collection gaps visible and justifies source spend. At a minimum, a CMF is a spreadsheet with columns: Source, Type, Owner, Cost, PIRs Supported, Coverage Notes.</t>
        </is>
      </c>
    </row>
    <row r="20" ht="24" customHeight="1">
      <c r="B20" s="68" t="inlineStr">
        <is>
          <t xml:space="preserve">  Sharing</t>
        </is>
      </c>
      <c r="C20" s="69" t="n"/>
      <c r="D20" s="69" t="n"/>
    </row>
    <row r="21" ht="45" customHeight="1">
      <c r="B21" s="17" t="inlineStr">
        <is>
          <t>CCTX</t>
        </is>
      </c>
      <c r="C21" s="26" t="inlineStr">
        <is>
          <t>Sharing</t>
        </is>
      </c>
      <c r="D21" s="18" t="inlineStr">
        <is>
          <t>Canadian Cyber Threat Exchange. National not-for-profit cross-sector threat intelligence sharing community. Most Canadian critical-infrastructure organizations, including telcos, participate. Membership is expected at TIBMM Tier-3+.</t>
        </is>
      </c>
    </row>
    <row r="22" ht="60" customHeight="1">
      <c r="B22" s="17" t="inlineStr">
        <is>
          <t>ISAC</t>
        </is>
      </c>
      <c r="C22" s="26" t="inlineStr">
        <is>
          <t>Sharing</t>
        </is>
      </c>
      <c r="D22" s="18" t="inlineStr">
        <is>
          <t>Information Sharing and Analysis Center. Industry-specific threat-sharing communities (e.g., FS-ISAC for finance, H-ISAC for health). The telco sector participates in the Communications ISAC (Comm-ISAC) in the US and similar fora elsewhere; CCTX is the Canadian cross-sector equivalent.</t>
        </is>
      </c>
    </row>
    <row r="23" ht="45" customHeight="1">
      <c r="B23" s="17" t="inlineStr">
        <is>
          <t>TLP</t>
        </is>
      </c>
      <c r="C23" s="26" t="inlineStr">
        <is>
          <t>Sharing</t>
        </is>
      </c>
      <c r="D23" s="18" t="inlineStr">
        <is>
          <t>Traffic Light Protocol. The standard marking convention for sensitivity of shared intelligence: RED (named recipients only), AMBER (limited distribution within organization), AMBER+STRICT (org only, not for vendors/partners), GREEN (community/sector), CLEAR (public, formerly WHITE).</t>
        </is>
      </c>
    </row>
    <row r="24" ht="24" customHeight="1">
      <c r="B24" s="68" t="inlineStr">
        <is>
          <t xml:space="preserve">  Tooling</t>
        </is>
      </c>
      <c r="C24" s="69" t="n"/>
      <c r="D24" s="69" t="n"/>
    </row>
    <row r="25" ht="45" customHeight="1">
      <c r="B25" s="17" t="inlineStr">
        <is>
          <t>SOAR</t>
        </is>
      </c>
      <c r="C25" s="26" t="inlineStr">
        <is>
          <t>Tooling</t>
        </is>
      </c>
      <c r="D25" s="18" t="inlineStr">
        <is>
          <t>Security Orchestration, Automation, and Response. Playbook-driven automation that ties alerts, enrichment lookups, and response actions together. CTI integrates with SOAR so high-confidence indicators can trigger automated blocking and SOC alerts can auto-enrich with TIP context.</t>
        </is>
      </c>
    </row>
    <row r="26" ht="45" customHeight="1">
      <c r="B26" s="17" t="inlineStr">
        <is>
          <t>STIX / TAXII</t>
        </is>
      </c>
      <c r="C26" s="26" t="inlineStr">
        <is>
          <t>Tooling</t>
        </is>
      </c>
      <c r="D26" s="18" t="inlineStr">
        <is>
          <t>STIX (Structured Threat Information Expression) is the standard data format for sharing CTI. TAXII (Trusted Automated Exchange of Indicator Information) is the transport protocol for pulling/pushing STIX. Most TIPs, SIEMs, and ISAC feeds support STIX/TAXII natively.</t>
        </is>
      </c>
    </row>
    <row r="27" ht="60" customHeight="1">
      <c r="B27" s="17" t="inlineStr">
        <is>
          <t>TIP</t>
        </is>
      </c>
      <c r="C27" s="26" t="inlineStr">
        <is>
          <t>Tooling</t>
        </is>
      </c>
      <c r="D27" s="18" t="inlineStr">
        <is>
          <t>Threat Intelligence Platform. The category of tool that aggregates, enriches, stores, scores, and distributes threat intelligence across feeds and internal systems. Examples: OpenCTI (open-source), MISP (open-source), ThreatConnect, Anomali, Recorded Future. A TIP acts as the single source of truth for indicators across SIEM/EDR/SOAR.</t>
        </is>
      </c>
    </row>
    <row r="28" ht="24" customHeight="1">
      <c r="B28" s="68" t="inlineStr">
        <is>
          <t xml:space="preserve">  Vulnerability</t>
        </is>
      </c>
      <c r="C28" s="69" t="n"/>
      <c r="D28" s="69" t="n"/>
    </row>
    <row r="29" ht="60" customHeight="1">
      <c r="B29" s="17" t="inlineStr">
        <is>
          <t>EPSS</t>
        </is>
      </c>
      <c r="C29" s="26" t="inlineStr">
        <is>
          <t>Vulnerability</t>
        </is>
      </c>
      <c r="D29" s="18" t="inlineStr">
        <is>
          <t>Exploit Prediction Scoring System. A probabilistic scoring system from FIRST (0-1 scale) indicating the likelihood a CVE will be exploited in the wild in the next 30 days. Complements CVSS (which measures severity, not exploitation probability). CTI-feeding EPSS-augmented prioritization to Vulnerability Management is a common T3 practice.</t>
        </is>
      </c>
    </row>
    <row r="30" ht="24" customHeight="1">
      <c r="B30" s="68" t="inlineStr">
        <is>
          <t xml:space="preserve">  Tactical</t>
        </is>
      </c>
      <c r="C30" s="69" t="n"/>
      <c r="D30" s="69" t="n"/>
    </row>
    <row r="31" ht="45" customHeight="1">
      <c r="B31" s="17" t="inlineStr">
        <is>
          <t>IOC</t>
        </is>
      </c>
      <c r="C31" s="26" t="inlineStr">
        <is>
          <t>Tactical</t>
        </is>
      </c>
      <c r="D31" s="18" t="inlineStr">
        <is>
          <t>Indicator of Compromise. Atomic artifact signaling potentially malicious activity: IP address, domain, URL, file hash, email address, registry key. At the bottom of Bianco's Pyramid of Pain; easy for adversaries to change.</t>
        </is>
      </c>
    </row>
    <row r="32" ht="24" customHeight="1">
      <c r="B32" s="68" t="inlineStr">
        <is>
          <t xml:space="preserve">  Tactical / Behavioral</t>
        </is>
      </c>
      <c r="C32" s="69" t="n"/>
      <c r="D32" s="69" t="n"/>
    </row>
    <row r="33" ht="45" customHeight="1">
      <c r="B33" s="17" t="inlineStr">
        <is>
          <t>TTP</t>
        </is>
      </c>
      <c r="C33" s="26" t="inlineStr">
        <is>
          <t>Tactical / Behavioral</t>
        </is>
      </c>
      <c r="D33" s="18" t="inlineStr">
        <is>
          <t>Tactic, Technique, Procedure. The behavioral description of adversary actions, higher on the Pyramid of Pain than IOCs because TTPs are harder for adversaries to change. MITRE ATT&amp;CK catalogs TTPs at the technique and sub-technique level.</t>
        </is>
      </c>
    </row>
    <row r="34" ht="24" customHeight="1">
      <c r="B34" s="68" t="inlineStr">
        <is>
          <t xml:space="preserve">  Framework</t>
        </is>
      </c>
      <c r="C34" s="69" t="n"/>
      <c r="D34" s="69" t="n"/>
    </row>
    <row r="35" ht="60" customHeight="1">
      <c r="B35" s="17" t="inlineStr">
        <is>
          <t>ATT&amp;CK</t>
        </is>
      </c>
      <c r="C35" s="26" t="inlineStr">
        <is>
          <t>Framework</t>
        </is>
      </c>
      <c r="D35" s="18" t="inlineStr">
        <is>
          <t>MITRE's knowledge base of adversary tactics, techniques, and sub-techniques based on real-world observations. Currently v18 with ~216 techniques and ~475 sub-techniques. Organized by 14 tactics (Initial Access through Impact). ATT&amp;CK IDs are the standard shorthand in CTI, detection, and hunt products.</t>
        </is>
      </c>
    </row>
    <row r="36" ht="45" customHeight="1">
      <c r="B36" s="17" t="inlineStr">
        <is>
          <t>Cyber Kill Chain</t>
        </is>
      </c>
      <c r="C36" s="26" t="inlineStr">
        <is>
          <t>Framework</t>
        </is>
      </c>
      <c r="D36" s="18" t="inlineStr">
        <is>
          <t>Lockheed Martin's 7-phase model of an intrusion: Reconnaissance, Weaponization, Delivery, Exploitation, Installation, Command &amp; Control, Actions on Objectives. Largely superseded by ATT&amp;CK for granular analysis but still useful as a high-level campaign narrative structure.</t>
        </is>
      </c>
    </row>
    <row r="37" ht="60" customHeight="1">
      <c r="B37" s="17" t="inlineStr">
        <is>
          <t>Diamond Model</t>
        </is>
      </c>
      <c r="C37" s="26" t="inlineStr">
        <is>
          <t>Framework</t>
        </is>
      </c>
      <c r="D37" s="18" t="inlineStr">
        <is>
          <t>Intrusion analysis framework (Caltagirone, Pendergast, Betz 2013) with four vertices: Adversary, Capability, Infrastructure, Victim. Used to describe the relational structure of an intrusion and to pivot investigations. Complementary to ATT&amp;CK, which describes what adversaries do; Diamond describes the relationships between actors, tools, victims, and infrastructure.</t>
        </is>
      </c>
    </row>
    <row r="38" ht="60" customHeight="1">
      <c r="B38" s="17" t="inlineStr">
        <is>
          <t>Pyramid of Pain</t>
        </is>
      </c>
      <c r="C38" s="26" t="inlineStr">
        <is>
          <t>Framework</t>
        </is>
      </c>
      <c r="D38" s="18" t="inlineStr">
        <is>
          <t>David Bianco's concept ranking indicator types by how much pain they cause adversaries to change. Bottom (easy to change): hash values, IP addresses, domain names. Middle: network artifacts, host artifacts. Top (painful to change): tools, TTPs. Hunts and detections should aim for the upper tiers.</t>
        </is>
      </c>
    </row>
    <row r="39" ht="24" customHeight="1">
      <c r="B39" s="68" t="inlineStr">
        <is>
          <t xml:space="preserve">  Hunt Methodology</t>
        </is>
      </c>
      <c r="C39" s="69" t="n"/>
      <c r="D39" s="69" t="n"/>
    </row>
    <row r="40" ht="30" customHeight="1">
      <c r="B40" s="17" t="inlineStr">
        <is>
          <t>MaGMa</t>
        </is>
      </c>
      <c r="C40" s="26" t="inlineStr">
        <is>
          <t>Hunt Methodology</t>
        </is>
      </c>
      <c r="D40" s="18" t="inlineStr">
        <is>
          <t>Use Case Framework / tool that accompanies TaHiTI, used to structure hunt outcomes and measure hunt team performance over time.</t>
        </is>
      </c>
    </row>
    <row r="41" ht="75" customHeight="1">
      <c r="B41" s="17" t="inlineStr">
        <is>
          <t>TaHiTI</t>
        </is>
      </c>
      <c r="C41" s="26" t="inlineStr">
        <is>
          <t>Hunt Methodology</t>
        </is>
      </c>
      <c r="D41" s="18" t="inlineStr">
        <is>
          <t>Targeted Hunting integrating Threat Intelligence. A threat-hunting methodology from FI-ISAC / Dutch Payments Association. Three phases: Initialize (generate hunt hypothesis abstract from CTI, IR, red team, or MaGMa gap), Hunt (refine hypothesis with CTI-enriched view, execute), Finalize (document findings; hand off to DE, IR, or back to CTI). The framework explicitly places CTI as the upstream producer of hunt hypotheses.</t>
        </is>
      </c>
    </row>
    <row r="42" ht="24" customHeight="1">
      <c r="B42" s="68" t="inlineStr">
        <is>
          <t xml:space="preserve">  Metrics</t>
        </is>
      </c>
      <c r="C42" s="69" t="n"/>
      <c r="D42" s="69" t="n"/>
    </row>
    <row r="43" ht="60" customHeight="1">
      <c r="B43" s="17" t="inlineStr">
        <is>
          <t>Brier Score</t>
        </is>
      </c>
      <c r="C43" s="26" t="inlineStr">
        <is>
          <t>Metrics</t>
        </is>
      </c>
      <c r="D43" s="18" t="inlineStr">
        <is>
          <t>A scoring rule for probabilistic forecasts. Lower is better (0 = perfect, 1 = worst). Used to measure forecast calibration across many predictions: does a CTI judgment tagged "likely (70-84%)" come true roughly 70-84% of the time when aggregated? Feeds ICD 203 standard 8 (accurate judgments).</t>
        </is>
      </c>
    </row>
    <row r="44" ht="45" customHeight="1">
      <c r="B44" s="17" t="inlineStr">
        <is>
          <t>NPS</t>
        </is>
      </c>
      <c r="C44" s="26" t="inlineStr">
        <is>
          <t>Metrics</t>
        </is>
      </c>
      <c r="D44" s="18" t="inlineStr">
        <is>
          <t>Net Promoter Score. "How likely are you to recommend working with CTI on intelligence questions in your domain?" on a 0-10 scale. Used in TIBMM to capture stakeholder satisfaction per domain on an annual cycle.</t>
        </is>
      </c>
    </row>
    <row r="45" ht="24" customHeight="1">
      <c r="B45" s="68" t="inlineStr">
        <is>
          <t xml:space="preserve">  Reporting</t>
        </is>
      </c>
      <c r="C45" s="69" t="n"/>
      <c r="D45" s="69" t="n"/>
    </row>
    <row r="46" ht="60" customHeight="1">
      <c r="B46" s="17" t="inlineStr">
        <is>
          <t>ENISA CTL</t>
        </is>
      </c>
      <c r="C46" s="26" t="inlineStr">
        <is>
          <t>Reporting</t>
        </is>
      </c>
      <c r="D46" s="18" t="inlineStr">
        <is>
          <t>European Union Agency for Cybersecurity's Cyber Threat Landscape methodology. Standard structure for recurring threat landscape reporting: identify prime threats, map actors and motivations, describe techniques, summarize events, project trends. TIBMM references this as the methodology to follow for the quarterly CTL product.</t>
        </is>
      </c>
    </row>
    <row r="47" ht="24" customHeight="1">
      <c r="B47" s="68" t="inlineStr">
        <is>
          <t xml:space="preserve">  Canadian Regulatory</t>
        </is>
      </c>
      <c r="C47" s="69" t="n"/>
      <c r="D47" s="69" t="n"/>
    </row>
    <row r="48" ht="60" customHeight="1">
      <c r="B48" s="17" t="inlineStr">
        <is>
          <t>Bill C-26 / CCSPA</t>
        </is>
      </c>
      <c r="C48" s="26" t="inlineStr">
        <is>
          <t>Canadian Regulatory</t>
        </is>
      </c>
      <c r="D48" s="18" t="inlineStr">
        <is>
          <t>Critical Cyber Systems Protection Act (passed as part of Bill C-26, 2024). Imposes cybersecurity program, incident-reporting, and direction-compliance obligations on designated operators including Canadian telecommunications providers. CTI is likely to be a named input to the CCSPA-required cybersecurity program.</t>
        </is>
      </c>
    </row>
    <row r="49" ht="30" customHeight="1">
      <c r="B49" s="17" t="inlineStr">
        <is>
          <t>CASL</t>
        </is>
      </c>
      <c r="C49" s="26" t="inlineStr">
        <is>
          <t>Canadian Regulatory</t>
        </is>
      </c>
      <c r="D49" s="18" t="inlineStr">
        <is>
          <t>Canada's Anti-Spam Legislation. Restricts commercial electronic messages; relevant to CTI when collecting phishing/smishing samples and when sharing threat samples externally.</t>
        </is>
      </c>
    </row>
    <row r="50" ht="45" customHeight="1">
      <c r="B50" s="17" t="inlineStr">
        <is>
          <t>CCCS / CSE</t>
        </is>
      </c>
      <c r="C50" s="26" t="inlineStr">
        <is>
          <t>Canadian Regulatory</t>
        </is>
      </c>
      <c r="D50" s="18" t="inlineStr">
        <is>
          <t>Canadian Centre for Cyber Security, part of the Communications Security Establishment (CSE). Federal body issuing cyber advisories, threat bulletins, and sector guidance. Telco CTI should ingest CCCS advisories as a named source and maintain a CCCS liaison path.</t>
        </is>
      </c>
    </row>
    <row r="51" ht="60" customHeight="1">
      <c r="B51" s="17" t="inlineStr">
        <is>
          <t>CRTC</t>
        </is>
      </c>
      <c r="C51" s="26" t="inlineStr">
        <is>
          <t>Canadian Regulatory</t>
        </is>
      </c>
      <c r="D51" s="18" t="inlineStr">
        <is>
          <t>Canadian Radio-television and Telecommunications Commission. Federal telecom regulator. Issues cybersecurity expectations for carriers; requires reporting of certain network-security incidents. Strategic CTI products to leadership should synthesize CRTC expectations as part of regulatory context.</t>
        </is>
      </c>
    </row>
    <row r="52" ht="60" customHeight="1">
      <c r="B52" s="17" t="inlineStr">
        <is>
          <t>PIPEDA</t>
        </is>
      </c>
      <c r="C52" s="26" t="inlineStr">
        <is>
          <t>Canadian Regulatory</t>
        </is>
      </c>
      <c r="D52" s="18" t="inlineStr">
        <is>
          <t>Personal Information Protection and Electronic Documents Act. Canada's federal privacy law governing how private-sector organizations collect, use, and disclose personal information. Relevant to CTI when collecting or storing indicators that contain personal data (emails, phone numbers, names), particularly from credential leaks or underground-forum observation.</t>
        </is>
      </c>
    </row>
    <row r="53" ht="24" customHeight="1">
      <c r="B53" s="68" t="inlineStr">
        <is>
          <t xml:space="preserve">  Telco Fraud</t>
        </is>
      </c>
      <c r="C53" s="69" t="n"/>
      <c r="D53" s="69" t="n"/>
    </row>
    <row r="54" ht="45" customHeight="1">
      <c r="B54" s="17" t="inlineStr">
        <is>
          <t>Number Porting Abuse</t>
        </is>
      </c>
      <c r="C54" s="26" t="inlineStr">
        <is>
          <t>Telco Fraud</t>
        </is>
      </c>
      <c r="D54" s="18" t="inlineStr">
        <is>
          <t>Closely related to SIM swap: abuse of Local Number Portability processes across carriers. Canadian telcos face this threat directly given CRTC porting rules; CTI tracks cross-carrier porting-abuse campaigns.</t>
        </is>
      </c>
    </row>
    <row r="55" ht="45" customHeight="1">
      <c r="B55" s="17" t="inlineStr">
        <is>
          <t>SIM Swap</t>
        </is>
      </c>
      <c r="C55" s="26" t="inlineStr">
        <is>
          <t>Telco Fraud</t>
        </is>
      </c>
      <c r="D55" s="18" t="inlineStr">
        <is>
          <t>Fraud technique where an attacker socially engineers or insider-assists a carrier to port a victim's phone number to an attacker-controlled SIM, intercepting SMS-based 2FA. CTI on SIM-swap actor TTPs (recruitment of insiders, tooling, target sectors) supports Fraud and IAM teams.</t>
        </is>
      </c>
    </row>
    <row r="56" ht="45" customHeight="1">
      <c r="B56" s="17" t="inlineStr">
        <is>
          <t>Smishing</t>
        </is>
      </c>
      <c r="C56" s="26" t="inlineStr">
        <is>
          <t>Telco Fraud</t>
        </is>
      </c>
      <c r="D56" s="18" t="inlineStr">
        <is>
          <t>SMS phishing. A fraud category particularly acute for telcos because the carrier's own infrastructure is the delivery channel. Smishing kits are collected, analyzed, and shared; indicators (sender numbers, lure URLs, kit infrastructure) feed SIEM/EDR and anti-fraud detection.</t>
        </is>
      </c>
    </row>
    <row r="57" ht="24" customHeight="1">
      <c r="B57" s="68" t="inlineStr">
        <is>
          <t xml:space="preserve">  Telco Stack</t>
        </is>
      </c>
      <c r="C57" s="69" t="n"/>
      <c r="D57" s="69" t="n"/>
    </row>
    <row r="58" ht="45" customHeight="1">
      <c r="B58" s="17" t="inlineStr">
        <is>
          <t>5G / SBA</t>
        </is>
      </c>
      <c r="C58" s="26" t="inlineStr">
        <is>
          <t>Telco Stack</t>
        </is>
      </c>
      <c r="D58" s="18" t="inlineStr">
        <is>
          <t>5G's Service-Based Architecture introduces HTTP/2-based NF-to-NF signaling (Network Function service-based interfaces). New attack surface (NRF impersonation, AMF/SMF abuse). CTI on 5G-specific research and disclosed vulnerabilities feeds the T3 VM practice.</t>
        </is>
      </c>
    </row>
    <row r="59" ht="45" customHeight="1">
      <c r="B59" s="17" t="inlineStr">
        <is>
          <t>CPE</t>
        </is>
      </c>
      <c r="C59" s="26" t="inlineStr">
        <is>
          <t>Telco Stack</t>
        </is>
      </c>
      <c r="D59" s="18" t="inlineStr">
        <is>
          <t>Customer Premises Equipment. Consumer/business modems, routers, ONTs. CPE compromise is a telco-visible fraud and abuse vector (botnet recruitment, DDoS amplification). CPE-vendor supply-chain intelligence is a TPRM topic.</t>
        </is>
      </c>
    </row>
    <row r="60" ht="45" customHeight="1">
      <c r="B60" s="17" t="inlineStr">
        <is>
          <t>OSS / BSS</t>
        </is>
      </c>
      <c r="C60" s="26" t="inlineStr">
        <is>
          <t>Telco Stack</t>
        </is>
      </c>
      <c r="D60" s="18" t="inlineStr">
        <is>
          <t>Operational Support Systems / Business Support Systems. The carrier's back-end stack: network management, provisioning, billing, CRM, mediation. Vulnerability intelligence on OSS/BSS platforms (Amdocs, Netcracker, Oracle BRM, etc.) is a scored practice at T3.</t>
        </is>
      </c>
    </row>
    <row r="61" ht="45" customHeight="1">
      <c r="B61" s="17" t="inlineStr">
        <is>
          <t>RAN</t>
        </is>
      </c>
      <c r="C61" s="26" t="inlineStr">
        <is>
          <t>Telco Stack</t>
        </is>
      </c>
      <c r="D61" s="18" t="inlineStr">
        <is>
          <t>Radio Access Network. The wireless edge (cell sites, base stations, NodeB/eNodeB/gNodeB). RAN vendors include Ericsson, Nokia, Samsung, Huawei. Vulnerability and supply-chain intelligence on RAN vendors is in scope for TIBMM T3 Vuln and TPRM practices.</t>
        </is>
      </c>
    </row>
    <row r="62" ht="60" customHeight="1">
      <c r="B62" s="17" t="inlineStr">
        <is>
          <t>SS7 / Diameter / GTP</t>
        </is>
      </c>
      <c r="C62" s="26" t="inlineStr">
        <is>
          <t>Telco Stack</t>
        </is>
      </c>
      <c r="D62" s="18" t="inlineStr">
        <is>
          <t>Telecommunications signaling protocols. SS7 (legacy 2G/3G signaling), Diameter (4G/LTE signaling), GTP (GPRS/4G/5G user-plane and signaling). Each has well-documented abuse cases (location tracking, SMS interception, billing fraud, DoS). Vulnerability intelligence on these protocols, and changes in their threat landscape, are in scope for telco CTI.</t>
        </is>
      </c>
    </row>
  </sheetData>
  <mergeCells count="18">
    <mergeCell ref="B11:D11"/>
    <mergeCell ref="B28:D28"/>
    <mergeCell ref="B42:D42"/>
    <mergeCell ref="B5:D5"/>
    <mergeCell ref="B47:D47"/>
    <mergeCell ref="B34:D34"/>
    <mergeCell ref="A2:E2"/>
    <mergeCell ref="B45:D45"/>
    <mergeCell ref="B57:D57"/>
    <mergeCell ref="B32:D32"/>
    <mergeCell ref="B9:D9"/>
    <mergeCell ref="B18:D18"/>
    <mergeCell ref="A1:E1"/>
    <mergeCell ref="B30:D30"/>
    <mergeCell ref="B53:D53"/>
    <mergeCell ref="B39:D39"/>
    <mergeCell ref="B24:D24"/>
    <mergeCell ref="B20:D20"/>
  </mergeCells>
  <pageMargins left="0.75" right="0.75" top="1" bottom="1" header="0.5" footer="0.5"/>
</worksheet>
</file>

<file path=xl/worksheets/sheet8.xml><?xml version="1.0" encoding="utf-8"?>
<worksheet xmlns="http://schemas.openxmlformats.org/spreadsheetml/2006/main">
  <sheetPr>
    <tabColor rgb="002D3E50"/>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2" customWidth="1" min="3" max="3"/>
    <col width="34" customWidth="1" min="4" max="4"/>
    <col width="12" customWidth="1" min="5" max="5"/>
    <col width="16" customWidth="1" min="6" max="6"/>
    <col width="16" customWidth="1" min="7" max="7"/>
  </cols>
  <sheetData>
    <row r="1">
      <c r="A1" s="70" t="inlineStr">
        <is>
          <t>SUMMARY</t>
        </is>
      </c>
      <c r="B1" s="70" t="n"/>
    </row>
    <row r="2">
      <c r="A2" s="71" t="inlineStr">
        <is>
          <t>Organization</t>
        </is>
      </c>
      <c r="B2" s="48">
        <f>Assessment!D4</f>
        <v/>
      </c>
    </row>
    <row r="3">
      <c r="A3" s="71" t="inlineStr">
        <is>
          <t>Assessor</t>
        </is>
      </c>
      <c r="B3" s="48">
        <f>Assessment!D5</f>
        <v/>
      </c>
    </row>
    <row r="4">
      <c r="A4" s="71" t="inlineStr">
        <is>
          <t>Date</t>
        </is>
      </c>
      <c r="B4" s="48">
        <f>Assessment!D7</f>
        <v/>
      </c>
    </row>
    <row r="5">
      <c r="A5" s="71" t="inlineStr">
        <is>
          <t>Assessment Type</t>
        </is>
      </c>
      <c r="B5" s="48">
        <f>Assessment!D8</f>
        <v/>
      </c>
    </row>
    <row r="6">
      <c r="A6" s="71" t="inlineStr">
        <is>
          <t>Overall Score</t>
        </is>
      </c>
      <c r="B6" s="72">
        <f>IF(COUNT(D18,D19,D20,D21,D22,D23,D24,D25,D26,D27,D28,D29,D30,D31,D32,D33,D34,D35,D36,D37,D38,D39,D40,D41,D42,D43)=0,"",ROUND(AVERAGE(D18,D19,D20,D21,D22,D23,D24,D25,D26,D27,D28,D29,D30,D31,D32,D33,D34,D35,D36,D37,D38,D39,D40,D41,D42,D43),2))</f>
        <v/>
      </c>
    </row>
    <row r="7">
      <c r="A7" s="71" t="inlineStr">
        <is>
          <t>Achieved Tier</t>
        </is>
      </c>
      <c r="B7" s="48">
        <f>IF(AND(AND(ISNUMBER(D18),D18&gt;=3,ISNUMBER(D19),D19&gt;=3,ISNUMBER(D20),D20&gt;=3,ISNUMBER(D21),D21&gt;=3),AND(ISNUMBER(D22),D22&gt;=3,ISNUMBER(D23),D23&gt;=3,ISNUMBER(D24),D24&gt;=3,ISNUMBER(D25),D25&gt;=3),AND(ISNUMBER(D26),D26&gt;=3,ISNUMBER(D27),D27&gt;=3,ISNUMBER(D28),D28&gt;=3,ISNUMBER(D29),D29&gt;=3),AND(ISNUMBER(D30),D30&gt;=3,ISNUMBER(D31),D31&gt;=3,ISNUMBER(D32),D32&gt;=3,ISNUMBER(D33),D33&gt;=3),AND(ISNUMBER(D34),D34&gt;=3,ISNUMBER(D35),D35&gt;=3,ISNUMBER(D36),D36&gt;=3,ISNUMBER(D37),D37&gt;=3)),"Tier 4: Leading",IF(AND(AND(ISNUMBER(D18),D18&gt;=3,ISNUMBER(D19),D19&gt;=3,ISNUMBER(D20),D20&gt;=3,ISNUMBER(D21),D21&gt;=3),AND(ISNUMBER(D22),D22&gt;=3,ISNUMBER(D23),D23&gt;=3,ISNUMBER(D24),D24&gt;=3,ISNUMBER(D25),D25&gt;=3),AND(ISNUMBER(D26),D26&gt;=3,ISNUMBER(D27),D27&gt;=3,ISNUMBER(D28),D28&gt;=3,ISNUMBER(D29),D29&gt;=3),AND(ISNUMBER(D30),D30&gt;=3,ISNUMBER(D31),D31&gt;=3,ISNUMBER(D32),D32&gt;=3,ISNUMBER(D33),D33&gt;=3)),"Tier 3: Advanced",IF(AND(AND(ISNUMBER(D18),D18&gt;=3,ISNUMBER(D19),D19&gt;=3,ISNUMBER(D20),D20&gt;=3,ISNUMBER(D21),D21&gt;=3),AND(ISNUMBER(D22),D22&gt;=3,ISNUMBER(D23),D23&gt;=3,ISNUMBER(D24),D24&gt;=3,ISNUMBER(D25),D25&gt;=3),AND(ISNUMBER(D26),D26&gt;=3,ISNUMBER(D27),D27&gt;=3,ISNUMBER(D28),D28&gt;=3,ISNUMBER(D29),D29&gt;=3)),"Tier 2: Operational",IF(AND(AND(ISNUMBER(D18),D18&gt;=3,ISNUMBER(D19),D19&gt;=3,ISNUMBER(D20),D20&gt;=3,ISNUMBER(D21),D21&gt;=3),AND(ISNUMBER(D22),D22&gt;=3,ISNUMBER(D23),D23&gt;=3,ISNUMBER(D24),D24&gt;=3,ISNUMBER(D25),D25&gt;=3)),"Tier 1: Basic",IF(AND(AND(ISNUMBER(D18),D18&gt;=3,ISNUMBER(D19),D19&gt;=3,ISNUMBER(D20),D20&gt;=3,ISNUMBER(D21),D21&gt;=3)),"Tier 0: Foundation","Below Foundation")))))</f>
        <v/>
      </c>
    </row>
    <row r="8">
      <c r="A8" s="71" t="inlineStr">
        <is>
          <t>Completion</t>
        </is>
      </c>
      <c r="B8" s="48">
        <f>COUNTA(Assessment!E15,Assessment!E16,Assessment!E17,Assessment!E18,Assessment!E19,Assessment!E20,Assessment!E23,Assessment!E24,Assessment!E25,Assessment!E26,Assessment!E27,Assessment!E28,Assessment!E31,Assessment!E32,Assessment!E33,Assessment!E34,Assessment!E35,Assessment!E36,Assessment!E39,Assessment!E40,Assessment!E41,Assessment!E42,Assessment!E43,Assessment!E46,Assessment!E47,Assessment!E48,Assessment!E49,Assessment!E50,Assessment!E57,Assessment!E58,Assessment!E59,Assessment!E60,Assessment!E63,Assessment!E64,Assessment!E65)&amp;" / 35"</f>
        <v/>
      </c>
    </row>
    <row r="10">
      <c r="A10" s="73" t="inlineStr">
        <is>
          <t>Tier</t>
        </is>
      </c>
      <c r="B10" s="73" t="inlineStr">
        <is>
          <t>Tier Name</t>
        </is>
      </c>
      <c r="C10" s="73" t="inlineStr">
        <is>
          <t>Score</t>
        </is>
      </c>
      <c r="D10" s="73" t="inlineStr">
        <is>
          <t>Level</t>
        </is>
      </c>
      <c r="E10" s="73" t="inlineStr">
        <is>
          <t>Status</t>
        </is>
      </c>
      <c r="F10" s="73" t="inlineStr">
        <is>
          <t>Progression</t>
        </is>
      </c>
    </row>
    <row r="11">
      <c r="A11" s="74" t="inlineStr">
        <is>
          <t>T0</t>
        </is>
      </c>
      <c r="B11" s="75" t="inlineStr">
        <is>
          <t>Foundation</t>
        </is>
      </c>
      <c r="C11" s="54">
        <f>IF(COUNT(Assessment!F15,Assessment!F16,Assessment!F17,Assessment!F18,Assessment!F19,Assessment!F20)=0,"",AVERAGE(Assessment!F15,Assessment!F16,Assessment!F17,Assessment!F18,Assessment!F19,Assessment!F20))</f>
        <v/>
      </c>
      <c r="D11" s="76">
        <f>IF(C11="","",IF(C11&gt;=4.5,"Optimized",IF(C11&gt;=3.5,"Managed",IF(C11&gt;=2.5,"Defined",IF(C11&gt;=1.5,"Repeatable","Initial")))))</f>
        <v/>
      </c>
      <c r="E11" s="76">
        <f>IF(C11="","",IF(C11&gt;=3,"✓ Pass","✗ Below Target"))</f>
        <v/>
      </c>
      <c r="F11" s="74">
        <f>IF(C11="","Not Started",IF(AND(AND(ISNUMBER(D18),D18&gt;=3,ISNUMBER(D19),D19&gt;=3,ISNUMBER(D20),D20&gt;=3,ISNUMBER(D21),D21&gt;=3)),"Complete",IF(TRUE,"Current","In Progress")))</f>
        <v/>
      </c>
    </row>
    <row r="12">
      <c r="A12" s="74" t="inlineStr">
        <is>
          <t>T1</t>
        </is>
      </c>
      <c r="B12" s="75" t="inlineStr">
        <is>
          <t>Basic</t>
        </is>
      </c>
      <c r="C12" s="54">
        <f>IF(COUNT(Assessment!F23,Assessment!F24,Assessment!F25,Assessment!F26,Assessment!F27,Assessment!F28)=0,"",AVERAGE(Assessment!F23,Assessment!F24,Assessment!F25,Assessment!F26,Assessment!F27,Assessment!F28))</f>
        <v/>
      </c>
      <c r="D12" s="76">
        <f>IF(C12="","",IF(C12&gt;=4.5,"Optimized",IF(C12&gt;=3.5,"Managed",IF(C12&gt;=2.5,"Defined",IF(C12&gt;=1.5,"Repeatable","Initial")))))</f>
        <v/>
      </c>
      <c r="E12" s="76">
        <f>IF(C12="","",IF(C12&gt;=3,"✓ Pass","✗ Below Target"))</f>
        <v/>
      </c>
      <c r="F12" s="74">
        <f>IF(C12="","Not Started",IF(AND(AND(ISNUMBER(D18),D18&gt;=3,ISNUMBER(D19),D19&gt;=3,ISNUMBER(D20),D20&gt;=3,ISNUMBER(D21),D21&gt;=3),AND(ISNUMBER(D22),D22&gt;=3,ISNUMBER(D23),D23&gt;=3,ISNUMBER(D24),D24&gt;=3,ISNUMBER(D25),D25&gt;=3)),"Complete",IF(AND(AND(ISNUMBER(D18),D18&gt;=3,ISNUMBER(D19),D19&gt;=3,ISNUMBER(D20),D20&gt;=3,ISNUMBER(D21),D21&gt;=3)),"Current","In Progress")))</f>
        <v/>
      </c>
    </row>
    <row r="13">
      <c r="A13" s="74" t="inlineStr">
        <is>
          <t>T2</t>
        </is>
      </c>
      <c r="B13" s="75" t="inlineStr">
        <is>
          <t>Operational</t>
        </is>
      </c>
      <c r="C13" s="54">
        <f>IF(COUNT(Assessment!F31,Assessment!F32,Assessment!F33,Assessment!F34,Assessment!F35,Assessment!F36)=0,"",AVERAGE(Assessment!F31,Assessment!F32,Assessment!F33,Assessment!F34,Assessment!F35,Assessment!F36))</f>
        <v/>
      </c>
      <c r="D13" s="76">
        <f>IF(C13="","",IF(C13&gt;=4.5,"Optimized",IF(C13&gt;=3.5,"Managed",IF(C13&gt;=2.5,"Defined",IF(C13&gt;=1.5,"Repeatable","Initial")))))</f>
        <v/>
      </c>
      <c r="E13" s="76">
        <f>IF(C13="","",IF(C13&gt;=3,"✓ Pass","✗ Below Target"))</f>
        <v/>
      </c>
      <c r="F13" s="74">
        <f>IF(C13="","Not Started",IF(AND(AND(ISNUMBER(D18),D18&gt;=3,ISNUMBER(D19),D19&gt;=3,ISNUMBER(D20),D20&gt;=3,ISNUMBER(D21),D21&gt;=3),AND(ISNUMBER(D22),D22&gt;=3,ISNUMBER(D23),D23&gt;=3,ISNUMBER(D24),D24&gt;=3,ISNUMBER(D25),D25&gt;=3),AND(ISNUMBER(D26),D26&gt;=3,ISNUMBER(D27),D27&gt;=3,ISNUMBER(D28),D28&gt;=3,ISNUMBER(D29),D29&gt;=3)),"Complete",IF(AND(AND(ISNUMBER(D18),D18&gt;=3,ISNUMBER(D19),D19&gt;=3,ISNUMBER(D20),D20&gt;=3,ISNUMBER(D21),D21&gt;=3),AND(ISNUMBER(D22),D22&gt;=3,ISNUMBER(D23),D23&gt;=3,ISNUMBER(D24),D24&gt;=3,ISNUMBER(D25),D25&gt;=3)),"Current","In Progress")))</f>
        <v/>
      </c>
    </row>
    <row r="14">
      <c r="A14" s="74" t="inlineStr">
        <is>
          <t>T3</t>
        </is>
      </c>
      <c r="B14" s="75" t="inlineStr">
        <is>
          <t>Advanced</t>
        </is>
      </c>
      <c r="C14" s="54">
        <f>IF(COUNT(Assessment!F39,Assessment!F40,Assessment!F41,Assessment!F42,Assessment!F43)=0,"",AVERAGE(Assessment!F39,Assessment!F40,Assessment!F41,Assessment!F42,Assessment!F43))</f>
        <v/>
      </c>
      <c r="D14" s="76">
        <f>IF(C14="","",IF(C14&gt;=4.5,"Optimized",IF(C14&gt;=3.5,"Managed",IF(C14&gt;=2.5,"Defined",IF(C14&gt;=1.5,"Repeatable","Initial")))))</f>
        <v/>
      </c>
      <c r="E14" s="76">
        <f>IF(C14="","",IF(C14&gt;=3,"✓ Pass","✗ Below Target"))</f>
        <v/>
      </c>
      <c r="F14" s="74">
        <f>IF(C14="","Not Started",IF(AND(AND(ISNUMBER(D18),D18&gt;=3,ISNUMBER(D19),D19&gt;=3,ISNUMBER(D20),D20&gt;=3,ISNUMBER(D21),D21&gt;=3),AND(ISNUMBER(D22),D22&gt;=3,ISNUMBER(D23),D23&gt;=3,ISNUMBER(D24),D24&gt;=3,ISNUMBER(D25),D25&gt;=3),AND(ISNUMBER(D26),D26&gt;=3,ISNUMBER(D27),D27&gt;=3,ISNUMBER(D28),D28&gt;=3,ISNUMBER(D29),D29&gt;=3),AND(ISNUMBER(D30),D30&gt;=3,ISNUMBER(D31),D31&gt;=3,ISNUMBER(D32),D32&gt;=3,ISNUMBER(D33),D33&gt;=3)),"Complete",IF(AND(AND(ISNUMBER(D18),D18&gt;=3,ISNUMBER(D19),D19&gt;=3,ISNUMBER(D20),D20&gt;=3,ISNUMBER(D21),D21&gt;=3),AND(ISNUMBER(D22),D22&gt;=3,ISNUMBER(D23),D23&gt;=3,ISNUMBER(D24),D24&gt;=3,ISNUMBER(D25),D25&gt;=3),AND(ISNUMBER(D26),D26&gt;=3,ISNUMBER(D27),D27&gt;=3,ISNUMBER(D28),D28&gt;=3,ISNUMBER(D29),D29&gt;=3)),"Current","In Progress")))</f>
        <v/>
      </c>
    </row>
    <row r="15">
      <c r="A15" s="74" t="inlineStr">
        <is>
          <t>T4</t>
        </is>
      </c>
      <c r="B15" s="75" t="inlineStr">
        <is>
          <t>Leading</t>
        </is>
      </c>
      <c r="C15" s="54">
        <f>IF(COUNT(Assessment!F46,Assessment!F47,Assessment!F48,Assessment!F49,Assessment!F50)=0,"",AVERAGE(Assessment!F46,Assessment!F47,Assessment!F48,Assessment!F49,Assessment!F50))</f>
        <v/>
      </c>
      <c r="D15" s="76">
        <f>IF(C15="","",IF(C15&gt;=4.5,"Optimized",IF(C15&gt;=3.5,"Managed",IF(C15&gt;=2.5,"Defined",IF(C15&gt;=1.5,"Repeatable","Initial")))))</f>
        <v/>
      </c>
      <c r="E15" s="76">
        <f>IF(C15="","",IF(C15&gt;=3,"✓ Pass","✗ Below Target"))</f>
        <v/>
      </c>
      <c r="F15" s="74">
        <f>IF(C15="","Not Started",IF(AND(AND(ISNUMBER(D18),D18&gt;=3,ISNUMBER(D19),D19&gt;=3,ISNUMBER(D20),D20&gt;=3,ISNUMBER(D21),D21&gt;=3),AND(ISNUMBER(D22),D22&gt;=3,ISNUMBER(D23),D23&gt;=3,ISNUMBER(D24),D24&gt;=3,ISNUMBER(D25),D25&gt;=3),AND(ISNUMBER(D26),D26&gt;=3,ISNUMBER(D27),D27&gt;=3,ISNUMBER(D28),D28&gt;=3,ISNUMBER(D29),D29&gt;=3),AND(ISNUMBER(D30),D30&gt;=3,ISNUMBER(D31),D31&gt;=3,ISNUMBER(D32),D32&gt;=3,ISNUMBER(D33),D33&gt;=3),AND(ISNUMBER(D34),D34&gt;=3,ISNUMBER(D35),D35&gt;=3,ISNUMBER(D36),D36&gt;=3,ISNUMBER(D37),D37&gt;=3)),"Complete",IF(AND(AND(ISNUMBER(D18),D18&gt;=3,ISNUMBER(D19),D19&gt;=3,ISNUMBER(D20),D20&gt;=3,ISNUMBER(D21),D21&gt;=3),AND(ISNUMBER(D22),D22&gt;=3,ISNUMBER(D23),D23&gt;=3,ISNUMBER(D24),D24&gt;=3,ISNUMBER(D25),D25&gt;=3),AND(ISNUMBER(D26),D26&gt;=3,ISNUMBER(D27),D27&gt;=3,ISNUMBER(D28),D28&gt;=3,ISNUMBER(D29),D29&gt;=3),AND(ISNUMBER(D30),D30&gt;=3,ISNUMBER(D31),D31&gt;=3,ISNUMBER(D32),D32&gt;=3,ISNUMBER(D33),D33&gt;=3)),"Current","In Progress")))</f>
        <v/>
      </c>
    </row>
    <row r="17">
      <c r="A17" s="14" t="inlineStr">
        <is>
          <t>Section</t>
        </is>
      </c>
      <c r="B17" s="14" t="inlineStr">
        <is>
          <t>Category</t>
        </is>
      </c>
      <c r="C17" s="14" t="inlineStr">
        <is>
          <t>Criterion</t>
        </is>
      </c>
      <c r="D17" s="14" t="inlineStr">
        <is>
          <t>Score</t>
        </is>
      </c>
      <c r="E17" s="14" t="inlineStr">
        <is>
          <t>Level</t>
        </is>
      </c>
      <c r="F17" s="14" t="inlineStr">
        <is>
          <t>Status</t>
        </is>
      </c>
    </row>
    <row r="18">
      <c r="A18" s="48" t="inlineStr">
        <is>
          <t>TIBMM Core</t>
        </is>
      </c>
      <c r="B18" s="48" t="inlineStr">
        <is>
          <t>Foundation</t>
        </is>
      </c>
      <c r="C18" s="71" t="inlineStr">
        <is>
          <t>Mission, Charter, and Service Catalog</t>
        </is>
      </c>
      <c r="D18" s="49">
        <f>IF(COUNT(Assessment!F15,Assessment!F16)=0,"",AVERAGE(Assessment!F15,Assessment!F16))</f>
        <v/>
      </c>
      <c r="E18" s="50">
        <f>IF(D18="","",IF(D18&gt;=4.5,"Optimized",IF(D18&gt;=3.5,"Managed",IF(D18&gt;=2.5,"Defined",IF(D18&gt;=1.5,"Repeatable","Initial")))))</f>
        <v/>
      </c>
      <c r="F18" s="50">
        <f>IF(D18="","",IF(D18&gt;=3,"✓ Pass","✗ Below Target"))</f>
        <v/>
      </c>
    </row>
    <row r="19">
      <c r="A19" s="48" t="inlineStr">
        <is>
          <t>TIBMM Core</t>
        </is>
      </c>
      <c r="B19" s="48" t="inlineStr">
        <is>
          <t>Foundation</t>
        </is>
      </c>
      <c r="C19" s="71" t="inlineStr">
        <is>
          <t>Indicator of Compromise Handling</t>
        </is>
      </c>
      <c r="D19" s="49">
        <f>IF(COUNT(Assessment!F17,Assessment!F18)=0,"",AVERAGE(Assessment!F17,Assessment!F18))</f>
        <v/>
      </c>
      <c r="E19" s="50">
        <f>IF(D19="","",IF(D19&gt;=4.5,"Optimized",IF(D19&gt;=3.5,"Managed",IF(D19&gt;=2.5,"Defined",IF(D19&gt;=1.5,"Repeatable","Initial")))))</f>
        <v/>
      </c>
      <c r="F19" s="50">
        <f>IF(D19="","",IF(D19&gt;=3,"✓ Pass","✗ Below Target"))</f>
        <v/>
      </c>
    </row>
    <row r="20">
      <c r="A20" s="48" t="inlineStr">
        <is>
          <t>TIBMM Core</t>
        </is>
      </c>
      <c r="B20" s="48" t="inlineStr">
        <is>
          <t>Foundation</t>
        </is>
      </c>
      <c r="C20" s="71" t="inlineStr">
        <is>
          <t>Intelligence Source Inventory</t>
        </is>
      </c>
      <c r="D20" s="49">
        <f>IF(COUNT(Assessment!F19)=0,"",AVERAGE(Assessment!F19))</f>
        <v/>
      </c>
      <c r="E20" s="50">
        <f>IF(D20="","",IF(D20&gt;=4.5,"Optimized",IF(D20&gt;=3.5,"Managed",IF(D20&gt;=2.5,"Defined",IF(D20&gt;=1.5,"Repeatable","Initial")))))</f>
        <v/>
      </c>
      <c r="F20" s="50">
        <f>IF(D20="","",IF(D20&gt;=3,"✓ Pass","✗ Below Target"))</f>
        <v/>
      </c>
    </row>
    <row r="21">
      <c r="A21" s="48" t="inlineStr">
        <is>
          <t>TIBMM Core</t>
        </is>
      </c>
      <c r="B21" s="48" t="inlineStr">
        <is>
          <t>Foundation</t>
        </is>
      </c>
      <c r="C21" s="71" t="inlineStr">
        <is>
          <t>Stakeholder Awareness and Access</t>
        </is>
      </c>
      <c r="D21" s="49">
        <f>IF(COUNT(Assessment!F20)=0,"",AVERAGE(Assessment!F20))</f>
        <v/>
      </c>
      <c r="E21" s="50">
        <f>IF(D21="","",IF(D21&gt;=4.5,"Optimized",IF(D21&gt;=3.5,"Managed",IF(D21&gt;=2.5,"Defined",IF(D21&gt;=1.5,"Repeatable","Initial")))))</f>
        <v/>
      </c>
      <c r="F21" s="50">
        <f>IF(D21="","",IF(D21&gt;=3,"✓ Pass","✗ Below Target"))</f>
        <v/>
      </c>
    </row>
    <row r="22">
      <c r="A22" s="48" t="inlineStr">
        <is>
          <t>TIBMM Core</t>
        </is>
      </c>
      <c r="B22" s="48" t="inlineStr">
        <is>
          <t>Basic</t>
        </is>
      </c>
      <c r="C22" s="71" t="inlineStr">
        <is>
          <t>Priority Intelligence Requirements (PIRs)</t>
        </is>
      </c>
      <c r="D22" s="49">
        <f>IF(COUNT(Assessment!F23,Assessment!F24)=0,"",AVERAGE(Assessment!F23,Assessment!F24))</f>
        <v/>
      </c>
      <c r="E22" s="50">
        <f>IF(D22="","",IF(D22&gt;=4.5,"Optimized",IF(D22&gt;=3.5,"Managed",IF(D22&gt;=2.5,"Defined",IF(D22&gt;=1.5,"Repeatable","Initial")))))</f>
        <v/>
      </c>
      <c r="F22" s="50">
        <f>IF(D22="","",IF(D22&gt;=3,"✓ Pass","✗ Below Target"))</f>
        <v/>
      </c>
    </row>
    <row r="23">
      <c r="A23" s="48" t="inlineStr">
        <is>
          <t>TIBMM Core</t>
        </is>
      </c>
      <c r="B23" s="48" t="inlineStr">
        <is>
          <t>Basic</t>
        </is>
      </c>
      <c r="C23" s="71" t="inlineStr">
        <is>
          <t>Product Template and BLUF Structure</t>
        </is>
      </c>
      <c r="D23" s="49">
        <f>IF(COUNT(Assessment!F25)=0,"",AVERAGE(Assessment!F25))</f>
        <v/>
      </c>
      <c r="E23" s="50">
        <f>IF(D23="","",IF(D23&gt;=4.5,"Optimized",IF(D23&gt;=3.5,"Managed",IF(D23&gt;=2.5,"Defined",IF(D23&gt;=1.5,"Repeatable","Initial")))))</f>
        <v/>
      </c>
      <c r="F23" s="50">
        <f>IF(D23="","",IF(D23&gt;=3,"✓ Pass","✗ Below Target"))</f>
        <v/>
      </c>
    </row>
    <row r="24">
      <c r="A24" s="48" t="inlineStr">
        <is>
          <t>TIBMM Core</t>
        </is>
      </c>
      <c r="B24" s="48" t="inlineStr">
        <is>
          <t>Basic</t>
        </is>
      </c>
      <c r="C24" s="71" t="inlineStr">
        <is>
          <t>Calibrated Language and Source Reliability</t>
        </is>
      </c>
      <c r="D24" s="49">
        <f>IF(COUNT(Assessment!F26,Assessment!F27)=0,"",AVERAGE(Assessment!F26,Assessment!F27))</f>
        <v/>
      </c>
      <c r="E24" s="50">
        <f>IF(D24="","",IF(D24&gt;=4.5,"Optimized",IF(D24&gt;=3.5,"Managed",IF(D24&gt;=2.5,"Defined",IF(D24&gt;=1.5,"Repeatable","Initial")))))</f>
        <v/>
      </c>
      <c r="F24" s="50">
        <f>IF(D24="","",IF(D24&gt;=3,"✓ Pass","✗ Below Target"))</f>
        <v/>
      </c>
    </row>
    <row r="25">
      <c r="A25" s="48" t="inlineStr">
        <is>
          <t>TIBMM Core</t>
        </is>
      </c>
      <c r="B25" s="48" t="inlineStr">
        <is>
          <t>Basic</t>
        </is>
      </c>
      <c r="C25" s="71" t="inlineStr">
        <is>
          <t>Collection Management Framework (CMF)</t>
        </is>
      </c>
      <c r="D25" s="49">
        <f>IF(COUNT(Assessment!F28)=0,"",AVERAGE(Assessment!F28))</f>
        <v/>
      </c>
      <c r="E25" s="50">
        <f>IF(D25="","",IF(D25&gt;=4.5,"Optimized",IF(D25&gt;=3.5,"Managed",IF(D25&gt;=2.5,"Defined",IF(D25&gt;=1.5,"Repeatable","Initial")))))</f>
        <v/>
      </c>
      <c r="F25" s="50">
        <f>IF(D25="","",IF(D25&gt;=3,"✓ Pass","✗ Below Target"))</f>
        <v/>
      </c>
    </row>
    <row r="26">
      <c r="A26" s="48" t="inlineStr">
        <is>
          <t>TIBMM Core</t>
        </is>
      </c>
      <c r="B26" s="48" t="inlineStr">
        <is>
          <t>Operational</t>
        </is>
      </c>
      <c r="C26" s="71" t="inlineStr">
        <is>
          <t>Threat Intelligence Platform and IOC Pipeline</t>
        </is>
      </c>
      <c r="D26" s="49">
        <f>IF(COUNT(Assessment!F31,Assessment!F32)=0,"",AVERAGE(Assessment!F31,Assessment!F32))</f>
        <v/>
      </c>
      <c r="E26" s="50">
        <f>IF(D26="","",IF(D26&gt;=4.5,"Optimized",IF(D26&gt;=3.5,"Managed",IF(D26&gt;=2.5,"Defined",IF(D26&gt;=1.5,"Repeatable","Initial")))))</f>
        <v/>
      </c>
      <c r="F26" s="50">
        <f>IF(D26="","",IF(D26&gt;=3,"✓ Pass","✗ Below Target"))</f>
        <v/>
      </c>
    </row>
    <row r="27">
      <c r="A27" s="48" t="inlineStr">
        <is>
          <t>TIBMM Core</t>
        </is>
      </c>
      <c r="B27" s="48" t="inlineStr">
        <is>
          <t>Operational</t>
        </is>
      </c>
      <c r="C27" s="71" t="inlineStr">
        <is>
          <t>Detection Engineering Handoff</t>
        </is>
      </c>
      <c r="D27" s="49">
        <f>IF(COUNT(Assessment!F33)=0,"",AVERAGE(Assessment!F33))</f>
        <v/>
      </c>
      <c r="E27" s="50">
        <f>IF(D27="","",IF(D27&gt;=4.5,"Optimized",IF(D27&gt;=3.5,"Managed",IF(D27&gt;=2.5,"Defined",IF(D27&gt;=1.5,"Repeatable","Initial")))))</f>
        <v/>
      </c>
      <c r="F27" s="50">
        <f>IF(D27="","",IF(D27&gt;=3,"✓ Pass","✗ Below Target"))</f>
        <v/>
      </c>
    </row>
    <row r="28">
      <c r="A28" s="48" t="inlineStr">
        <is>
          <t>TIBMM Core</t>
        </is>
      </c>
      <c r="B28" s="48" t="inlineStr">
        <is>
          <t>Operational</t>
        </is>
      </c>
      <c r="C28" s="71" t="inlineStr">
        <is>
          <t>Collaboration with the Threat Hunting Team</t>
        </is>
      </c>
      <c r="D28" s="49">
        <f>IF(COUNT(Assessment!F34,Assessment!F35)=0,"",AVERAGE(Assessment!F34,Assessment!F35))</f>
        <v/>
      </c>
      <c r="E28" s="50">
        <f>IF(D28="","",IF(D28&gt;=4.5,"Optimized",IF(D28&gt;=3.5,"Managed",IF(D28&gt;=2.5,"Defined",IF(D28&gt;=1.5,"Repeatable","Initial")))))</f>
        <v/>
      </c>
      <c r="F28" s="50">
        <f>IF(D28="","",IF(D28&gt;=3,"✓ Pass","✗ Below Target"))</f>
        <v/>
      </c>
    </row>
    <row r="29">
      <c r="A29" s="48" t="inlineStr">
        <is>
          <t>TIBMM Core</t>
        </is>
      </c>
      <c r="B29" s="48" t="inlineStr">
        <is>
          <t>Operational</t>
        </is>
      </c>
      <c r="C29" s="71" t="inlineStr">
        <is>
          <t>Incident Response Enrichment</t>
        </is>
      </c>
      <c r="D29" s="49">
        <f>IF(COUNT(Assessment!F36)=0,"",AVERAGE(Assessment!F36))</f>
        <v/>
      </c>
      <c r="E29" s="50">
        <f>IF(D29="","",IF(D29&gt;=4.5,"Optimized",IF(D29&gt;=3.5,"Managed",IF(D29&gt;=2.5,"Defined",IF(D29&gt;=1.5,"Repeatable","Initial")))))</f>
        <v/>
      </c>
      <c r="F29" s="50">
        <f>IF(D29="","",IF(D29&gt;=3,"✓ Pass","✗ Below Target"))</f>
        <v/>
      </c>
    </row>
    <row r="30">
      <c r="A30" s="48" t="inlineStr">
        <is>
          <t>TIBMM Core</t>
        </is>
      </c>
      <c r="B30" s="48" t="inlineStr">
        <is>
          <t>Advanced</t>
        </is>
      </c>
      <c r="C30" s="71" t="inlineStr">
        <is>
          <t>Vulnerability and Exploit Intelligence</t>
        </is>
      </c>
      <c r="D30" s="49">
        <f>IF(COUNT(Assessment!F39)=0,"",AVERAGE(Assessment!F39))</f>
        <v/>
      </c>
      <c r="E30" s="50">
        <f>IF(D30="","",IF(D30&gt;=4.5,"Optimized",IF(D30&gt;=3.5,"Managed",IF(D30&gt;=2.5,"Defined",IF(D30&gt;=1.5,"Repeatable","Initial")))))</f>
        <v/>
      </c>
      <c r="F30" s="50">
        <f>IF(D30="","",IF(D30&gt;=3,"✓ Pass","✗ Below Target"))</f>
        <v/>
      </c>
    </row>
    <row r="31">
      <c r="A31" s="48" t="inlineStr">
        <is>
          <t>TIBMM Core</t>
        </is>
      </c>
      <c r="B31" s="48" t="inlineStr">
        <is>
          <t>Advanced</t>
        </is>
      </c>
      <c r="C31" s="71" t="inlineStr">
        <is>
          <t>Telco Fraud Intelligence</t>
        </is>
      </c>
      <c r="D31" s="49">
        <f>IF(COUNT(Assessment!F40,Assessment!F41)=0,"",AVERAGE(Assessment!F40,Assessment!F41))</f>
        <v/>
      </c>
      <c r="E31" s="50">
        <f>IF(D31="","",IF(D31&gt;=4.5,"Optimized",IF(D31&gt;=3.5,"Managed",IF(D31&gt;=2.5,"Defined",IF(D31&gt;=1.5,"Repeatable","Initial")))))</f>
        <v/>
      </c>
      <c r="F31" s="50">
        <f>IF(D31="","",IF(D31&gt;=3,"✓ Pass","✗ Below Target"))</f>
        <v/>
      </c>
    </row>
    <row r="32">
      <c r="A32" s="48" t="inlineStr">
        <is>
          <t>TIBMM Core</t>
        </is>
      </c>
      <c r="B32" s="48" t="inlineStr">
        <is>
          <t>Advanced</t>
        </is>
      </c>
      <c r="C32" s="71" t="inlineStr">
        <is>
          <t>Third-Party and Supply-Chain Intelligence</t>
        </is>
      </c>
      <c r="D32" s="49">
        <f>IF(COUNT(Assessment!F42)=0,"",AVERAGE(Assessment!F42))</f>
        <v/>
      </c>
      <c r="E32" s="50">
        <f>IF(D32="","",IF(D32&gt;=4.5,"Optimized",IF(D32&gt;=3.5,"Managed",IF(D32&gt;=2.5,"Defined",IF(D32&gt;=1.5,"Repeatable","Initial")))))</f>
        <v/>
      </c>
      <c r="F32" s="50">
        <f>IF(D32="","",IF(D32&gt;=3,"✓ Pass","✗ Below Target"))</f>
        <v/>
      </c>
    </row>
    <row r="33">
      <c r="A33" s="48" t="inlineStr">
        <is>
          <t>TIBMM Core</t>
        </is>
      </c>
      <c r="B33" s="48" t="inlineStr">
        <is>
          <t>Advanced</t>
        </is>
      </c>
      <c r="C33" s="71" t="inlineStr">
        <is>
          <t>Cyber Threat Landscape Reporting</t>
        </is>
      </c>
      <c r="D33" s="49">
        <f>IF(COUNT(Assessment!F43)=0,"",AVERAGE(Assessment!F43))</f>
        <v/>
      </c>
      <c r="E33" s="50">
        <f>IF(D33="","",IF(D33&gt;=4.5,"Optimized",IF(D33&gt;=3.5,"Managed",IF(D33&gt;=2.5,"Defined",IF(D33&gt;=1.5,"Repeatable","Initial")))))</f>
        <v/>
      </c>
      <c r="F33" s="50">
        <f>IF(D33="","",IF(D33&gt;=3,"✓ Pass","✗ Below Target"))</f>
        <v/>
      </c>
    </row>
    <row r="34">
      <c r="A34" s="48" t="inlineStr">
        <is>
          <t>TIBMM Core</t>
        </is>
      </c>
      <c r="B34" s="48" t="inlineStr">
        <is>
          <t>Leading</t>
        </is>
      </c>
      <c r="C34" s="71" t="inlineStr">
        <is>
          <t>Strategic Intelligence to Leadership</t>
        </is>
      </c>
      <c r="D34" s="49">
        <f>IF(COUNT(Assessment!F46)=0,"",AVERAGE(Assessment!F46))</f>
        <v/>
      </c>
      <c r="E34" s="50">
        <f>IF(D34="","",IF(D34&gt;=4.5,"Optimized",IF(D34&gt;=3.5,"Managed",IF(D34&gt;=2.5,"Defined",IF(D34&gt;=1.5,"Repeatable","Initial")))))</f>
        <v/>
      </c>
      <c r="F34" s="50">
        <f>IF(D34="","",IF(D34&gt;=3,"✓ Pass","✗ Below Target"))</f>
        <v/>
      </c>
    </row>
    <row r="35">
      <c r="A35" s="48" t="inlineStr">
        <is>
          <t>TIBMM Core</t>
        </is>
      </c>
      <c r="B35" s="48" t="inlineStr">
        <is>
          <t>Leading</t>
        </is>
      </c>
      <c r="C35" s="71" t="inlineStr">
        <is>
          <t>Structured Analytic Techniques (SATs)</t>
        </is>
      </c>
      <c r="D35" s="49">
        <f>IF(COUNT(Assessment!F47)=0,"",AVERAGE(Assessment!F47))</f>
        <v/>
      </c>
      <c r="E35" s="50">
        <f>IF(D35="","",IF(D35&gt;=4.5,"Optimized",IF(D35&gt;=3.5,"Managed",IF(D35&gt;=2.5,"Defined",IF(D35&gt;=1.5,"Repeatable","Initial")))))</f>
        <v/>
      </c>
      <c r="F35" s="50">
        <f>IF(D35="","",IF(D35&gt;=3,"✓ Pass","✗ Below Target"))</f>
        <v/>
      </c>
    </row>
    <row r="36">
      <c r="A36" s="48" t="inlineStr">
        <is>
          <t>TIBMM Core</t>
        </is>
      </c>
      <c r="B36" s="48" t="inlineStr">
        <is>
          <t>Leading</t>
        </is>
      </c>
      <c r="C36" s="71" t="inlineStr">
        <is>
          <t>Attributable Outcomes and Impact Metrics</t>
        </is>
      </c>
      <c r="D36" s="49">
        <f>IF(COUNT(Assessment!F48,Assessment!F49)=0,"",AVERAGE(Assessment!F48,Assessment!F49))</f>
        <v/>
      </c>
      <c r="E36" s="50">
        <f>IF(D36="","",IF(D36&gt;=4.5,"Optimized",IF(D36&gt;=3.5,"Managed",IF(D36&gt;=2.5,"Defined",IF(D36&gt;=1.5,"Repeatable","Initial")))))</f>
        <v/>
      </c>
      <c r="F36" s="50">
        <f>IF(D36="","",IF(D36&gt;=3,"✓ Pass","✗ Below Target"))</f>
        <v/>
      </c>
    </row>
    <row r="37">
      <c r="A37" s="48" t="inlineStr">
        <is>
          <t>TIBMM Core</t>
        </is>
      </c>
      <c r="B37" s="48" t="inlineStr">
        <is>
          <t>Leading</t>
        </is>
      </c>
      <c r="C37" s="71" t="inlineStr">
        <is>
          <t>Forecast Calibration</t>
        </is>
      </c>
      <c r="D37" s="49">
        <f>IF(COUNT(Assessment!F50)=0,"",AVERAGE(Assessment!F50))</f>
        <v/>
      </c>
      <c r="E37" s="50">
        <f>IF(D37="","",IF(D37&gt;=4.5,"Optimized",IF(D37&gt;=3.5,"Managed",IF(D37&gt;=2.5,"Defined",IF(D37&gt;=1.5,"Repeatable","Initial")))))</f>
        <v/>
      </c>
      <c r="F37" s="50">
        <f>IF(D37="","",IF(D37&gt;=3,"✓ Pass","✗ Below Target"))</f>
        <v/>
      </c>
    </row>
    <row r="38">
      <c r="A38" s="48" t="inlineStr">
        <is>
          <t>Enrichment</t>
        </is>
      </c>
      <c r="B38" s="48" t="inlineStr">
        <is>
          <t>Tradecraft and Analyst Capability</t>
        </is>
      </c>
      <c r="C38" s="71" t="inlineStr">
        <is>
          <t>ICD 203 Analytic Standards Adherence</t>
        </is>
      </c>
      <c r="D38" s="49">
        <f>IF(COUNT(Assessment!F57)=0,"",AVERAGE(Assessment!F57))</f>
        <v/>
      </c>
      <c r="E38" s="50">
        <f>IF(D38="","",IF(D38&gt;=4.5,"Optimized",IF(D38&gt;=3.5,"Managed",IF(D38&gt;=2.5,"Defined",IF(D38&gt;=1.5,"Repeatable","Initial")))))</f>
        <v/>
      </c>
      <c r="F38" s="50">
        <f>IF(D38="","",IF(D38&gt;=3,"✓ Pass","✗ Below Target"))</f>
        <v/>
      </c>
    </row>
    <row r="39">
      <c r="A39" s="48" t="inlineStr">
        <is>
          <t>Enrichment</t>
        </is>
      </c>
      <c r="B39" s="48" t="inlineStr">
        <is>
          <t>Tradecraft and Analyst Capability</t>
        </is>
      </c>
      <c r="C39" s="71" t="inlineStr">
        <is>
          <t>Framework Literacy (ATT&amp;CK, Diamond, Kill Chain)</t>
        </is>
      </c>
      <c r="D39" s="49">
        <f>IF(COUNT(Assessment!F58)=0,"",AVERAGE(Assessment!F58))</f>
        <v/>
      </c>
      <c r="E39" s="50">
        <f>IF(D39="","",IF(D39&gt;=4.5,"Optimized",IF(D39&gt;=3.5,"Managed",IF(D39&gt;=2.5,"Defined",IF(D39&gt;=1.5,"Repeatable","Initial")))))</f>
        <v/>
      </c>
      <c r="F39" s="50">
        <f>IF(D39="","",IF(D39&gt;=3,"✓ Pass","✗ Below Target"))</f>
        <v/>
      </c>
    </row>
    <row r="40">
      <c r="A40" s="48" t="inlineStr">
        <is>
          <t>Enrichment</t>
        </is>
      </c>
      <c r="B40" s="48" t="inlineStr">
        <is>
          <t>Tradecraft and Analyst Capability</t>
        </is>
      </c>
      <c r="C40" s="71" t="inlineStr">
        <is>
          <t>Peer Review Process</t>
        </is>
      </c>
      <c r="D40" s="49">
        <f>IF(COUNT(Assessment!F59,Assessment!F60)=0,"",AVERAGE(Assessment!F59,Assessment!F60))</f>
        <v/>
      </c>
      <c r="E40" s="50">
        <f>IF(D40="","",IF(D40&gt;=4.5,"Optimized",IF(D40&gt;=3.5,"Managed",IF(D40&gt;=2.5,"Defined",IF(D40&gt;=1.5,"Repeatable","Initial")))))</f>
        <v/>
      </c>
      <c r="F40" s="50">
        <f>IF(D40="","",IF(D40&gt;=3,"✓ Pass","✗ Below Target"))</f>
        <v/>
      </c>
    </row>
    <row r="41">
      <c r="A41" s="48" t="inlineStr">
        <is>
          <t>Enrichment</t>
        </is>
      </c>
      <c r="B41" s="48" t="inlineStr">
        <is>
          <t>Governance, Legal, Ethics, and Improvement</t>
        </is>
      </c>
      <c r="C41" s="71" t="inlineStr">
        <is>
          <t>Legal and Regulatory Review (PIPEDA, CASL, CRTC)</t>
        </is>
      </c>
      <c r="D41" s="49">
        <f>IF(COUNT(Assessment!F63)=0,"",AVERAGE(Assessment!F63))</f>
        <v/>
      </c>
      <c r="E41" s="50">
        <f>IF(D41="","",IF(D41&gt;=4.5,"Optimized",IF(D41&gt;=3.5,"Managed",IF(D41&gt;=2.5,"Defined",IF(D41&gt;=1.5,"Repeatable","Initial")))))</f>
        <v/>
      </c>
      <c r="F41" s="50">
        <f>IF(D41="","",IF(D41&gt;=3,"✓ Pass","✗ Below Target"))</f>
        <v/>
      </c>
    </row>
    <row r="42">
      <c r="A42" s="48" t="inlineStr">
        <is>
          <t>Enrichment</t>
        </is>
      </c>
      <c r="B42" s="48" t="inlineStr">
        <is>
          <t>Governance, Legal, Ethics, and Improvement</t>
        </is>
      </c>
      <c r="C42" s="71" t="inlineStr">
        <is>
          <t>External Sharing and Trust-Group Participation</t>
        </is>
      </c>
      <c r="D42" s="49">
        <f>IF(COUNT(Assessment!F64)=0,"",AVERAGE(Assessment!F64))</f>
        <v/>
      </c>
      <c r="E42" s="50">
        <f>IF(D42="","",IF(D42&gt;=4.5,"Optimized",IF(D42&gt;=3.5,"Managed",IF(D42&gt;=2.5,"Defined",IF(D42&gt;=1.5,"Repeatable","Initial")))))</f>
        <v/>
      </c>
      <c r="F42" s="50">
        <f>IF(D42="","",IF(D42&gt;=3,"✓ Pass","✗ Below Target"))</f>
        <v/>
      </c>
    </row>
    <row r="43">
      <c r="A43" s="48" t="inlineStr">
        <is>
          <t>Enrichment</t>
        </is>
      </c>
      <c r="B43" s="48" t="inlineStr">
        <is>
          <t>Governance, Legal, Ethics, and Improvement</t>
        </is>
      </c>
      <c r="C43" s="71" t="inlineStr">
        <is>
          <t>Continuous Improvement and Self-Assessment</t>
        </is>
      </c>
      <c r="D43" s="49">
        <f>IF(COUNT(Assessment!F65)=0,"",AVERAGE(Assessment!F65))</f>
        <v/>
      </c>
      <c r="E43" s="50">
        <f>IF(D43="","",IF(D43&gt;=4.5,"Optimized",IF(D43&gt;=3.5,"Managed",IF(D43&gt;=2.5,"Defined",IF(D43&gt;=1.5,"Repeatable","Initial")))))</f>
        <v/>
      </c>
      <c r="F43" s="50">
        <f>IF(D43="","",IF(D43&gt;=3,"✓ Pass","✗ Below Target"))</f>
        <v/>
      </c>
    </row>
  </sheetData>
  <conditionalFormatting sqref="F11:F15">
    <cfRule type="cellIs" priority="1" operator="equal" dxfId="3">
      <formula>"Complete"</formula>
    </cfRule>
    <cfRule type="cellIs" priority="2" operator="equal" dxfId="2">
      <formula>"Current"</formula>
    </cfRule>
    <cfRule type="cellIs" priority="3" operator="equal" dxfId="1">
      <formula>"In Progress"</formula>
    </cfRule>
  </conditionalFormatting>
  <conditionalFormatting sqref="C11:C15">
    <cfRule type="cellIs" priority="4" operator="between" dxfId="0">
      <formula>1</formula>
      <formula>1.49</formula>
    </cfRule>
    <cfRule type="cellIs" priority="5" operator="between" dxfId="1">
      <formula>1.5</formula>
      <formula>2.49</formula>
    </cfRule>
    <cfRule type="cellIs" priority="6" operator="between" dxfId="2">
      <formula>2.5</formula>
      <formula>3.49</formula>
    </cfRule>
    <cfRule type="cellIs" priority="7" operator="between" dxfId="3">
      <formula>3.5</formula>
      <formula>5</formula>
    </cfRule>
  </conditionalFormatting>
  <conditionalFormatting sqref="D18:D43">
    <cfRule type="cellIs" priority="8" operator="between" dxfId="0">
      <formula>1</formula>
      <formula>1.49</formula>
    </cfRule>
    <cfRule type="cellIs" priority="9" operator="between" dxfId="1">
      <formula>1.5</formula>
      <formula>2.49</formula>
    </cfRule>
    <cfRule type="cellIs" priority="10" operator="between" dxfId="2">
      <formula>2.5</formula>
      <formula>3.49</formula>
    </cfRule>
    <cfRule type="cellIs" priority="11" operator="between" dxfId="3">
      <formula>3.5</formula>
      <formula>5</formula>
    </cfRule>
  </conditionalFormatting>
  <conditionalFormatting sqref="F18:F43">
    <cfRule type="cellIs" priority="12" operator="equal" dxfId="3">
      <formula>"✓ Pass"</formula>
    </cfRule>
    <cfRule type="cellIs" priority="13" operator="equal" dxfId="0">
      <formula>"✗ Below Target"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2026-04-17T01:20:31Z</dcterms:created>
  <dcterms:modified xmlns:dcterms="http://purl.org/dc/terms/" xmlns:xsi="http://www.w3.org/2001/XMLSchema-instance" xsi:type="dcterms:W3CDTF">2026-04-17T01:20:31Z</dcterms:modified>
</cp:coreProperties>
</file>